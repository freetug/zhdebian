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给别人做的\52pj石头岛\"/>
    </mc:Choice>
  </mc:AlternateContent>
  <bookViews>
    <workbookView xWindow="0" yWindow="0" windowWidth="17700" windowHeight="7785" tabRatio="821" firstSheet="1" activeTab="1"/>
  </bookViews>
  <sheets>
    <sheet name="药品逐日消耗模板表" sheetId="20" r:id="rId1"/>
    <sheet name="所有药品目录表" sheetId="1" r:id="rId2"/>
    <sheet name="就诊伤病员处置登记表" sheetId="4" r:id="rId3"/>
    <sheet name="冰硼散" sheetId="5132" r:id="rId4"/>
    <sheet name="红霉素软膏" sheetId="5133" r:id="rId5"/>
    <sheet name="红霉素眼膏" sheetId="5134" r:id="rId6"/>
    <sheet name="双氯芬酸二乙胺乳胶剂（扶他林）" sheetId="5135" r:id="rId7"/>
    <sheet name="复方黄连素" sheetId="5136" r:id="rId8"/>
    <sheet name="连花清瘟胶囊" sheetId="5137" r:id="rId9"/>
    <sheet name="马应龙麝香痔疮膏" sheetId="5138" r:id="rId10"/>
    <sheet name="麝香痔疮栓" sheetId="5139" r:id="rId11"/>
    <sheet name="连花清瘟颗粒" sheetId="5140" r:id="rId12"/>
    <sheet name="呋麻滴鼻液" sheetId="5141" r:id="rId13"/>
    <sheet name="999胃泰胶囊" sheetId="5142" r:id="rId14"/>
    <sheet name="依巴斯汀片" sheetId="5143" r:id="rId15"/>
    <sheet name="多潘立酮片" sheetId="5144" r:id="rId16"/>
    <sheet name="蒙脱石散" sheetId="5145" r:id="rId17"/>
    <sheet name="阿莫西林克拉维酸钾片" sheetId="5146" r:id="rId18"/>
    <sheet name="左氧氟沙星片" sheetId="5147" r:id="rId19"/>
    <sheet name="布洛芬缓释胶囊" sheetId="5148" r:id="rId20"/>
    <sheet name="罗红霉素胶囊" sheetId="5149" r:id="rId21"/>
    <sheet name="咳特灵片" sheetId="5150" r:id="rId22"/>
    <sheet name="甲硝唑芬布芬胶囊" sheetId="5151" r:id="rId23"/>
    <sheet name="双氯芬酸钠缓释片" sheetId="5152" r:id="rId24"/>
    <sheet name="鼻炎康片" sheetId="5153" r:id="rId25"/>
    <sheet name="阿昔洛韦乳膏" sheetId="5154" r:id="rId26"/>
    <sheet name="氯雷他定片" sheetId="5155" r:id="rId27"/>
    <sheet name="利巴韦林滴眼液" sheetId="5156" r:id="rId28"/>
    <sheet name="复方酮康唑乳膏" sheetId="5157" r:id="rId29"/>
    <sheet name="复方醋酸地塞米松乳膏" sheetId="5158" r:id="rId30"/>
    <sheet name="复方倍氯米松樟脑乳膏" sheetId="5159" r:id="rId31"/>
    <sheet name="醋酸曲安奈德益康唑乳膏" sheetId="5160" r:id="rId32"/>
    <sheet name="丁酸氢化可的松乳膏（醋酸）" sheetId="5161" r:id="rId33"/>
    <sheet name=" 红花油" sheetId="5162" r:id="rId34"/>
    <sheet name="清凉油" sheetId="5163" r:id="rId35"/>
    <sheet name="高山红景天口服液" sheetId="5164" r:id="rId36"/>
    <sheet name="风油精" sheetId="5165" r:id="rId37"/>
    <sheet name="肠炎宁颗粒" sheetId="5166" r:id="rId38"/>
    <sheet name="注射用奥美拉唑纳" sheetId="5167" r:id="rId39"/>
    <sheet name="关节止痛膏" sheetId="5168" r:id="rId40"/>
    <sheet name="季德胜蛇药片" sheetId="5169" r:id="rId41"/>
    <sheet name="金嗓子喉片" sheetId="5170" r:id="rId42"/>
    <sheet name="炉甘石洗剂" sheetId="5171" r:id="rId43"/>
    <sheet name="安神补脑液" sheetId="5172" r:id="rId44"/>
    <sheet name="创口贴" sheetId="5173" r:id="rId45"/>
    <sheet name="藿香正气口服液" sheetId="5174" r:id="rId46"/>
    <sheet name="健胃消食片" sheetId="5175" r:id="rId47"/>
    <sheet name="牛黄解毒片" sheetId="5176" r:id="rId48"/>
    <sheet name="奥美拉唑肠溶胶囊" sheetId="5177" r:id="rId49"/>
    <sheet name="盐酸小檗碱" sheetId="5178" r:id="rId50"/>
    <sheet name="风热感冒颗粒" sheetId="5179" r:id="rId51"/>
    <sheet name="复方感冒灵颗粒" sheetId="5180" r:id="rId52"/>
    <sheet name="云南白药气雾剂" sheetId="5181" r:id="rId53"/>
    <sheet name="急支糖浆" sheetId="5182" r:id="rId54"/>
    <sheet name="麝香壮骨膏" sheetId="5183" r:id="rId55"/>
    <sheet name="维生素C片" sheetId="5184" r:id="rId56"/>
    <sheet name="醋酸地塞米松片" sheetId="5185" r:id="rId57"/>
    <sheet name="马来酸氯苯那敏" sheetId="5186" r:id="rId58"/>
    <sheet name="磷酸奥司他韦颗粒" sheetId="5187" r:id="rId59"/>
    <sheet name="夏桑菊颗粒" sheetId="5188" r:id="rId60"/>
    <sheet name="云南白药膏" sheetId="5189" r:id="rId61"/>
    <sheet name="伤湿止痛膏" sheetId="5190" r:id="rId62"/>
    <sheet name="复方酮康唑发用洗剂" sheetId="5191" r:id="rId63"/>
    <sheet name="湿润烧伤膏" sheetId="5192" r:id="rId64"/>
    <sheet name="复方甘草片" sheetId="5193" r:id="rId65"/>
    <sheet name="颠茄片" sheetId="5194" r:id="rId66"/>
    <sheet name="罗通定片" sheetId="5195" r:id="rId67"/>
    <sheet name="兰索拉唑肠溶胶囊" sheetId="5196" r:id="rId68"/>
    <sheet name="头孢呋辛酯片" sheetId="5197" r:id="rId69"/>
    <sheet name="麻仁润肠丸" sheetId="5198" r:id="rId70"/>
    <sheet name="头孢克圬分散片" sheetId="5199" r:id="rId71"/>
    <sheet name="阿昔洛韦滴眼液" sheetId="5200" r:id="rId72"/>
    <sheet name="苯溴马隆片" sheetId="5201" r:id="rId73"/>
    <sheet name="碳酸氢钠片" sheetId="5202" r:id="rId74"/>
    <sheet name="口服补液盐散" sheetId="5203" r:id="rId75"/>
    <sheet name="妥布霉素地塞米松滴眼液" sheetId="5204" r:id="rId76"/>
    <sheet name="塞来昔布胶囊" sheetId="5205" r:id="rId77"/>
    <sheet name="复方板蓝根颗粒" sheetId="5206" r:id="rId78"/>
    <sheet name="维C银翘片" sheetId="5207" r:id="rId79"/>
    <sheet name="诺氟沙星胶囊" sheetId="5208" r:id="rId80"/>
    <sheet name="强力枇杷露" sheetId="5209" r:id="rId81"/>
    <sheet name="通宣理肺颗粒" sheetId="5210" r:id="rId82"/>
    <sheet name="人工牛黄甲硝唑胶囊" sheetId="5211" r:id="rId83"/>
    <sheet name="咽炎含片" sheetId="5212" r:id="rId84"/>
    <sheet name="硝酸咪康唑乳膏" sheetId="5213" r:id="rId85"/>
    <sheet name="黄连上清片" sheetId="5214" r:id="rId86"/>
    <sheet name="维U颠茄铝镁片" sheetId="5215" r:id="rId87"/>
    <sheet name="铝碳酸镁咀嚼片" sheetId="5216" r:id="rId88"/>
    <sheet name="止咳祛痰颗粒" sheetId="5217" r:id="rId89"/>
    <sheet name="秋水仙碱片" sheetId="5218" r:id="rId90"/>
    <sheet name="阿奇霉素胶囊" sheetId="5219" r:id="rId91"/>
    <sheet name="双氯芬酸钠胶囊" sheetId="5220" r:id="rId92"/>
    <sheet name="三七伤药片" sheetId="5221" r:id="rId93"/>
    <sheet name="川百止痒洗剂" sheetId="5222" r:id="rId94"/>
    <sheet name="川贝枇杷糖浆" sheetId="5223" r:id="rId95"/>
    <sheet name="蒲地蓝消炎片" sheetId="5224" r:id="rId96"/>
    <sheet name="盐酸氨溴索口服液" sheetId="5225" r:id="rId97"/>
    <sheet name="999胃泰颗粒" sheetId="5226" r:id="rId98"/>
    <sheet name="色甘酸钠滴眼液" sheetId="5227" r:id="rId99"/>
    <sheet name="冰硼含片" sheetId="5228" r:id="rId100"/>
    <sheet name="孟鲁司特咀嚼片" sheetId="5229" r:id="rId101"/>
    <sheet name="玻璃酸钠滴眼液" sheetId="5230" r:id="rId102"/>
    <sheet name="复方感冒灵片" sheetId="5231" r:id="rId103"/>
    <sheet name="金银花口服液" sheetId="5232" r:id="rId104"/>
    <sheet name="聚维酮碘溶液" sheetId="5233" r:id="rId105"/>
    <sheet name="布洛芬缓释混悬液" sheetId="5234" r:id="rId106"/>
    <sheet name="维生素B12片" sheetId="5235" r:id="rId107"/>
    <sheet name="维生素E软胶囊" sheetId="5236" r:id="rId108"/>
    <sheet name="复合维生素B片" sheetId="5237" r:id="rId109"/>
    <sheet name="碳酸钙D3咀嚼片" sheetId="5238" r:id="rId110"/>
    <sheet name="外用溃疡散" sheetId="5239" r:id="rId111"/>
    <sheet name="盐酸左氧氟沙星滴耳液" sheetId="5240" r:id="rId112"/>
    <sheet name="多维元素片" sheetId="5241" r:id="rId113"/>
    <sheet name="复方甘草口服液" sheetId="5242" r:id="rId114"/>
    <sheet name="氨酚伪麻那敏片" sheetId="5243" r:id="rId115"/>
    <sheet name="珍珠明目滴眼液" sheetId="5244" r:id="rId116"/>
    <sheet name="复方氯已定含漱液" sheetId="5245" r:id="rId117"/>
    <sheet name="对乙酰氨基酚缓释片" sheetId="5246" r:id="rId118"/>
    <sheet name="氢溴酸右美沙芬片" sheetId="5247" r:id="rId119"/>
    <sheet name="双黄连口服液" sheetId="5248" r:id="rId120"/>
    <sheet name="复方氨酚烷胺片" sheetId="5249" r:id="rId121"/>
    <sheet name="醋酸曲安奈德尿素软膏" sheetId="5250" r:id="rId122"/>
    <sheet name="鼻炎灵颗粒" sheetId="5251" r:id="rId123"/>
    <sheet name="磷酸奥司他韦胶囊" sheetId="5252" r:id="rId124"/>
    <sheet name="地奥司明片" sheetId="5253" r:id="rId125"/>
    <sheet name="西地碘含片" sheetId="5254" r:id="rId126"/>
    <sheet name="盐酸氨基酸葡萄糖胶囊" sheetId="5255" r:id="rId12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8" i="1"/>
  <c r="I9" i="1"/>
  <c r="I10" i="1"/>
  <c r="I11" i="1"/>
  <c r="I3" i="1"/>
  <c r="I4" i="1"/>
  <c r="I5" i="1"/>
  <c r="I6" i="1"/>
  <c r="I7" i="1"/>
  <c r="AG15" i="5255"/>
  <c r="AG14" i="5255"/>
  <c r="AG13" i="5255"/>
  <c r="AG12" i="5255"/>
  <c r="AG11" i="5255"/>
  <c r="AG10" i="5255"/>
  <c r="AG9" i="5255"/>
  <c r="AG8" i="5255"/>
  <c r="AG7" i="5255"/>
  <c r="AG6" i="5255"/>
  <c r="AG5" i="5255"/>
  <c r="AG4" i="5255"/>
  <c r="AG16" i="5255" s="1"/>
  <c r="AG15" i="5254"/>
  <c r="AG14" i="5254"/>
  <c r="AG13" i="5254"/>
  <c r="AG12" i="5254"/>
  <c r="AG11" i="5254"/>
  <c r="AG10" i="5254"/>
  <c r="AG9" i="5254"/>
  <c r="AG8" i="5254"/>
  <c r="AG7" i="5254"/>
  <c r="AG6" i="5254"/>
  <c r="AG5" i="5254"/>
  <c r="AG4" i="5254"/>
  <c r="AG16" i="5254" s="1"/>
  <c r="AG15" i="5253"/>
  <c r="AG14" i="5253"/>
  <c r="AG13" i="5253"/>
  <c r="AG12" i="5253"/>
  <c r="AG11" i="5253"/>
  <c r="AG10" i="5253"/>
  <c r="AG9" i="5253"/>
  <c r="AG8" i="5253"/>
  <c r="AG7" i="5253"/>
  <c r="AG6" i="5253"/>
  <c r="AG5" i="5253"/>
  <c r="AG4" i="5253"/>
  <c r="AG16" i="5253" s="1"/>
  <c r="AG15" i="5252"/>
  <c r="AG14" i="5252"/>
  <c r="AG13" i="5252"/>
  <c r="AG12" i="5252"/>
  <c r="AG11" i="5252"/>
  <c r="AG10" i="5252"/>
  <c r="AG9" i="5252"/>
  <c r="AG8" i="5252"/>
  <c r="AG7" i="5252"/>
  <c r="AG6" i="5252"/>
  <c r="AG5" i="5252"/>
  <c r="AG4" i="5252"/>
  <c r="AG16" i="5252" s="1"/>
  <c r="AG15" i="5251"/>
  <c r="AG14" i="5251"/>
  <c r="AG13" i="5251"/>
  <c r="AG12" i="5251"/>
  <c r="AG11" i="5251"/>
  <c r="AG10" i="5251"/>
  <c r="AG9" i="5251"/>
  <c r="AG8" i="5251"/>
  <c r="AG7" i="5251"/>
  <c r="AG6" i="5251"/>
  <c r="AG5" i="5251"/>
  <c r="AG4" i="5251"/>
  <c r="AG16" i="5251" s="1"/>
  <c r="AG15" i="5250"/>
  <c r="AG14" i="5250"/>
  <c r="AG13" i="5250"/>
  <c r="AG12" i="5250"/>
  <c r="AG11" i="5250"/>
  <c r="AG10" i="5250"/>
  <c r="AG9" i="5250"/>
  <c r="AG8" i="5250"/>
  <c r="AG7" i="5250"/>
  <c r="AG6" i="5250"/>
  <c r="AG5" i="5250"/>
  <c r="AG4" i="5250"/>
  <c r="AG16" i="5250" s="1"/>
  <c r="AG15" i="5249"/>
  <c r="AG14" i="5249"/>
  <c r="AG13" i="5249"/>
  <c r="AG12" i="5249"/>
  <c r="AG11" i="5249"/>
  <c r="AG10" i="5249"/>
  <c r="AG9" i="5249"/>
  <c r="AG8" i="5249"/>
  <c r="AG7" i="5249"/>
  <c r="AG6" i="5249"/>
  <c r="AG5" i="5249"/>
  <c r="AG4" i="5249"/>
  <c r="AG16" i="5249" s="1"/>
  <c r="AG15" i="5248"/>
  <c r="AG14" i="5248"/>
  <c r="AG13" i="5248"/>
  <c r="AG12" i="5248"/>
  <c r="AG11" i="5248"/>
  <c r="AG10" i="5248"/>
  <c r="AG9" i="5248"/>
  <c r="AG8" i="5248"/>
  <c r="AG7" i="5248"/>
  <c r="AG6" i="5248"/>
  <c r="AG5" i="5248"/>
  <c r="AG4" i="5248"/>
  <c r="AG16" i="5248" s="1"/>
  <c r="AG15" i="5247"/>
  <c r="AG14" i="5247"/>
  <c r="AG13" i="5247"/>
  <c r="AG12" i="5247"/>
  <c r="AG11" i="5247"/>
  <c r="AG10" i="5247"/>
  <c r="AG9" i="5247"/>
  <c r="AG8" i="5247"/>
  <c r="AG7" i="5247"/>
  <c r="AG6" i="5247"/>
  <c r="AG5" i="5247"/>
  <c r="AG4" i="5247"/>
  <c r="AG16" i="5247" s="1"/>
  <c r="AG15" i="5246"/>
  <c r="AG14" i="5246"/>
  <c r="AG13" i="5246"/>
  <c r="AG12" i="5246"/>
  <c r="AG11" i="5246"/>
  <c r="AG10" i="5246"/>
  <c r="AG9" i="5246"/>
  <c r="AG8" i="5246"/>
  <c r="AG7" i="5246"/>
  <c r="AG6" i="5246"/>
  <c r="AG5" i="5246"/>
  <c r="AG4" i="5246"/>
  <c r="AG16" i="5246" s="1"/>
  <c r="AG15" i="5245"/>
  <c r="AG14" i="5245"/>
  <c r="AG13" i="5245"/>
  <c r="AG12" i="5245"/>
  <c r="AG11" i="5245"/>
  <c r="AG10" i="5245"/>
  <c r="AG9" i="5245"/>
  <c r="AG8" i="5245"/>
  <c r="AG7" i="5245"/>
  <c r="AG6" i="5245"/>
  <c r="AG5" i="5245"/>
  <c r="AG4" i="5245"/>
  <c r="AG16" i="5245" s="1"/>
  <c r="AG15" i="5244"/>
  <c r="AG14" i="5244"/>
  <c r="AG13" i="5244"/>
  <c r="AG12" i="5244"/>
  <c r="AG11" i="5244"/>
  <c r="AG10" i="5244"/>
  <c r="AG9" i="5244"/>
  <c r="AG8" i="5244"/>
  <c r="AG7" i="5244"/>
  <c r="AG6" i="5244"/>
  <c r="AG5" i="5244"/>
  <c r="AG4" i="5244"/>
  <c r="AG16" i="5244" s="1"/>
  <c r="AG15" i="5243"/>
  <c r="AG14" i="5243"/>
  <c r="AG13" i="5243"/>
  <c r="AG12" i="5243"/>
  <c r="AG11" i="5243"/>
  <c r="AG10" i="5243"/>
  <c r="AG9" i="5243"/>
  <c r="AG8" i="5243"/>
  <c r="AG7" i="5243"/>
  <c r="AG6" i="5243"/>
  <c r="AG5" i="5243"/>
  <c r="AG4" i="5243"/>
  <c r="AG16" i="5243" s="1"/>
  <c r="AG15" i="5242"/>
  <c r="AG14" i="5242"/>
  <c r="AG13" i="5242"/>
  <c r="AG12" i="5242"/>
  <c r="AG11" i="5242"/>
  <c r="AG10" i="5242"/>
  <c r="AG9" i="5242"/>
  <c r="AG8" i="5242"/>
  <c r="AG7" i="5242"/>
  <c r="AG6" i="5242"/>
  <c r="AG5" i="5242"/>
  <c r="AG4" i="5242"/>
  <c r="AG16" i="5242" s="1"/>
  <c r="AG15" i="5241"/>
  <c r="AG14" i="5241"/>
  <c r="AG13" i="5241"/>
  <c r="AG12" i="5241"/>
  <c r="AG11" i="5241"/>
  <c r="AG10" i="5241"/>
  <c r="AG9" i="5241"/>
  <c r="AG8" i="5241"/>
  <c r="AG7" i="5241"/>
  <c r="AG6" i="5241"/>
  <c r="AG5" i="5241"/>
  <c r="AG4" i="5241"/>
  <c r="AG16" i="5241" s="1"/>
  <c r="AG15" i="5240"/>
  <c r="AG14" i="5240"/>
  <c r="AG13" i="5240"/>
  <c r="AG12" i="5240"/>
  <c r="AG11" i="5240"/>
  <c r="AG10" i="5240"/>
  <c r="AG9" i="5240"/>
  <c r="AG8" i="5240"/>
  <c r="AG7" i="5240"/>
  <c r="AG6" i="5240"/>
  <c r="AG5" i="5240"/>
  <c r="AG4" i="5240"/>
  <c r="AG16" i="5240" s="1"/>
  <c r="AG15" i="5239"/>
  <c r="AG14" i="5239"/>
  <c r="AG13" i="5239"/>
  <c r="AG12" i="5239"/>
  <c r="AG11" i="5239"/>
  <c r="AG10" i="5239"/>
  <c r="AG9" i="5239"/>
  <c r="AG8" i="5239"/>
  <c r="AG7" i="5239"/>
  <c r="AG6" i="5239"/>
  <c r="AG5" i="5239"/>
  <c r="AG4" i="5239"/>
  <c r="AG16" i="5239" s="1"/>
  <c r="AG15" i="5238"/>
  <c r="AG14" i="5238"/>
  <c r="AG13" i="5238"/>
  <c r="AG12" i="5238"/>
  <c r="AG11" i="5238"/>
  <c r="AG10" i="5238"/>
  <c r="AG9" i="5238"/>
  <c r="AG8" i="5238"/>
  <c r="AG7" i="5238"/>
  <c r="AG6" i="5238"/>
  <c r="AG5" i="5238"/>
  <c r="AG4" i="5238"/>
  <c r="AG16" i="5238" s="1"/>
  <c r="AG15" i="5237"/>
  <c r="AG14" i="5237"/>
  <c r="AG13" i="5237"/>
  <c r="AG12" i="5237"/>
  <c r="AG11" i="5237"/>
  <c r="AG10" i="5237"/>
  <c r="AG9" i="5237"/>
  <c r="AG8" i="5237"/>
  <c r="AG7" i="5237"/>
  <c r="AG6" i="5237"/>
  <c r="AG5" i="5237"/>
  <c r="AG4" i="5237"/>
  <c r="AG16" i="5237" s="1"/>
  <c r="AG15" i="5236"/>
  <c r="AG14" i="5236"/>
  <c r="AG13" i="5236"/>
  <c r="AG12" i="5236"/>
  <c r="AG11" i="5236"/>
  <c r="AG10" i="5236"/>
  <c r="AG9" i="5236"/>
  <c r="AG8" i="5236"/>
  <c r="AG7" i="5236"/>
  <c r="AG6" i="5236"/>
  <c r="AG5" i="5236"/>
  <c r="AG4" i="5236"/>
  <c r="AG16" i="5236" s="1"/>
  <c r="AG15" i="5235"/>
  <c r="AG14" i="5235"/>
  <c r="AG13" i="5235"/>
  <c r="AG12" i="5235"/>
  <c r="AG11" i="5235"/>
  <c r="AG10" i="5235"/>
  <c r="AG9" i="5235"/>
  <c r="AG8" i="5235"/>
  <c r="AG7" i="5235"/>
  <c r="AG6" i="5235"/>
  <c r="AG5" i="5235"/>
  <c r="AG4" i="5235"/>
  <c r="AG16" i="5235" s="1"/>
  <c r="AG15" i="5234"/>
  <c r="AG14" i="5234"/>
  <c r="AG13" i="5234"/>
  <c r="AG12" i="5234"/>
  <c r="AG11" i="5234"/>
  <c r="AG10" i="5234"/>
  <c r="AG9" i="5234"/>
  <c r="AG8" i="5234"/>
  <c r="AG7" i="5234"/>
  <c r="AG6" i="5234"/>
  <c r="AG5" i="5234"/>
  <c r="AG4" i="5234"/>
  <c r="AG16" i="5234" s="1"/>
  <c r="AG15" i="5233"/>
  <c r="AG14" i="5233"/>
  <c r="AG13" i="5233"/>
  <c r="AG12" i="5233"/>
  <c r="AG11" i="5233"/>
  <c r="AG10" i="5233"/>
  <c r="AG9" i="5233"/>
  <c r="AG8" i="5233"/>
  <c r="AG7" i="5233"/>
  <c r="AG6" i="5233"/>
  <c r="AG5" i="5233"/>
  <c r="AG4" i="5233"/>
  <c r="AG16" i="5233" s="1"/>
  <c r="AG15" i="5232"/>
  <c r="AG14" i="5232"/>
  <c r="AG13" i="5232"/>
  <c r="AG12" i="5232"/>
  <c r="AG11" i="5232"/>
  <c r="AG10" i="5232"/>
  <c r="AG9" i="5232"/>
  <c r="AG8" i="5232"/>
  <c r="AG7" i="5232"/>
  <c r="AG6" i="5232"/>
  <c r="AG5" i="5232"/>
  <c r="AG4" i="5232"/>
  <c r="AG16" i="5232" s="1"/>
  <c r="AG15" i="5231"/>
  <c r="AG14" i="5231"/>
  <c r="AG13" i="5231"/>
  <c r="AG12" i="5231"/>
  <c r="AG11" i="5231"/>
  <c r="AG10" i="5231"/>
  <c r="AG9" i="5231"/>
  <c r="AG8" i="5231"/>
  <c r="AG7" i="5231"/>
  <c r="AG6" i="5231"/>
  <c r="AG5" i="5231"/>
  <c r="AG4" i="5231"/>
  <c r="AG16" i="5231" s="1"/>
  <c r="AG15" i="5230"/>
  <c r="AG14" i="5230"/>
  <c r="AG13" i="5230"/>
  <c r="AG12" i="5230"/>
  <c r="AG11" i="5230"/>
  <c r="AG10" i="5230"/>
  <c r="AG9" i="5230"/>
  <c r="AG8" i="5230"/>
  <c r="AG7" i="5230"/>
  <c r="AG6" i="5230"/>
  <c r="AG5" i="5230"/>
  <c r="AG4" i="5230"/>
  <c r="AG16" i="5230" s="1"/>
  <c r="AG15" i="5229"/>
  <c r="AG14" i="5229"/>
  <c r="AG13" i="5229"/>
  <c r="AG12" i="5229"/>
  <c r="AG11" i="5229"/>
  <c r="AG10" i="5229"/>
  <c r="AG9" i="5229"/>
  <c r="AG8" i="5229"/>
  <c r="AG7" i="5229"/>
  <c r="AG6" i="5229"/>
  <c r="AG5" i="5229"/>
  <c r="AG4" i="5229"/>
  <c r="AG16" i="5229" s="1"/>
  <c r="AG15" i="5228"/>
  <c r="AG14" i="5228"/>
  <c r="AG13" i="5228"/>
  <c r="AG12" i="5228"/>
  <c r="AG11" i="5228"/>
  <c r="AG10" i="5228"/>
  <c r="AG9" i="5228"/>
  <c r="AG8" i="5228"/>
  <c r="AG7" i="5228"/>
  <c r="AG6" i="5228"/>
  <c r="AG5" i="5228"/>
  <c r="AG4" i="5228"/>
  <c r="AG16" i="5228" s="1"/>
  <c r="AG15" i="5227"/>
  <c r="AG14" i="5227"/>
  <c r="AG13" i="5227"/>
  <c r="AG12" i="5227"/>
  <c r="AG11" i="5227"/>
  <c r="AG10" i="5227"/>
  <c r="AG9" i="5227"/>
  <c r="AG8" i="5227"/>
  <c r="AG7" i="5227"/>
  <c r="AG6" i="5227"/>
  <c r="AG5" i="5227"/>
  <c r="AG4" i="5227"/>
  <c r="AG16" i="5227" s="1"/>
  <c r="AG15" i="5226"/>
  <c r="AG14" i="5226"/>
  <c r="AG13" i="5226"/>
  <c r="AG12" i="5226"/>
  <c r="AG11" i="5226"/>
  <c r="AG10" i="5226"/>
  <c r="AG9" i="5226"/>
  <c r="AG8" i="5226"/>
  <c r="AG7" i="5226"/>
  <c r="AG6" i="5226"/>
  <c r="AG5" i="5226"/>
  <c r="AG4" i="5226"/>
  <c r="AG16" i="5226" s="1"/>
  <c r="AG15" i="5225"/>
  <c r="AG14" i="5225"/>
  <c r="AG13" i="5225"/>
  <c r="AG12" i="5225"/>
  <c r="AG11" i="5225"/>
  <c r="AG10" i="5225"/>
  <c r="AG9" i="5225"/>
  <c r="AG8" i="5225"/>
  <c r="AG7" i="5225"/>
  <c r="AG6" i="5225"/>
  <c r="AG5" i="5225"/>
  <c r="AG4" i="5225"/>
  <c r="AG16" i="5225" s="1"/>
  <c r="AG15" i="5224"/>
  <c r="AG14" i="5224"/>
  <c r="AG13" i="5224"/>
  <c r="AG12" i="5224"/>
  <c r="AG11" i="5224"/>
  <c r="AG10" i="5224"/>
  <c r="AG9" i="5224"/>
  <c r="AG8" i="5224"/>
  <c r="AG7" i="5224"/>
  <c r="AG6" i="5224"/>
  <c r="AG5" i="5224"/>
  <c r="AG4" i="5224"/>
  <c r="AG16" i="5224" s="1"/>
  <c r="AG15" i="5223"/>
  <c r="AG14" i="5223"/>
  <c r="AG13" i="5223"/>
  <c r="AG12" i="5223"/>
  <c r="AG11" i="5223"/>
  <c r="AG10" i="5223"/>
  <c r="AG9" i="5223"/>
  <c r="AG8" i="5223"/>
  <c r="AG7" i="5223"/>
  <c r="AG6" i="5223"/>
  <c r="AG5" i="5223"/>
  <c r="AG4" i="5223"/>
  <c r="AG16" i="5223" s="1"/>
  <c r="AG15" i="5222"/>
  <c r="AG14" i="5222"/>
  <c r="AG13" i="5222"/>
  <c r="AG12" i="5222"/>
  <c r="AG11" i="5222"/>
  <c r="AG10" i="5222"/>
  <c r="AG9" i="5222"/>
  <c r="AG8" i="5222"/>
  <c r="AG7" i="5222"/>
  <c r="AG6" i="5222"/>
  <c r="AG5" i="5222"/>
  <c r="AG4" i="5222"/>
  <c r="AG16" i="5222" s="1"/>
  <c r="AG15" i="5221"/>
  <c r="AG14" i="5221"/>
  <c r="AG13" i="5221"/>
  <c r="AG12" i="5221"/>
  <c r="AG11" i="5221"/>
  <c r="AG10" i="5221"/>
  <c r="AG9" i="5221"/>
  <c r="AG8" i="5221"/>
  <c r="AG7" i="5221"/>
  <c r="AG6" i="5221"/>
  <c r="AG5" i="5221"/>
  <c r="AG4" i="5221"/>
  <c r="AG16" i="5221" s="1"/>
  <c r="AG15" i="5220"/>
  <c r="AG14" i="5220"/>
  <c r="AG13" i="5220"/>
  <c r="AG12" i="5220"/>
  <c r="AG11" i="5220"/>
  <c r="AG10" i="5220"/>
  <c r="AG9" i="5220"/>
  <c r="AG8" i="5220"/>
  <c r="AG7" i="5220"/>
  <c r="AG6" i="5220"/>
  <c r="AG5" i="5220"/>
  <c r="AG4" i="5220"/>
  <c r="AG16" i="5220" s="1"/>
  <c r="AG15" i="5219"/>
  <c r="AG14" i="5219"/>
  <c r="AG13" i="5219"/>
  <c r="AG12" i="5219"/>
  <c r="AG11" i="5219"/>
  <c r="AG10" i="5219"/>
  <c r="AG9" i="5219"/>
  <c r="AG8" i="5219"/>
  <c r="AG7" i="5219"/>
  <c r="AG6" i="5219"/>
  <c r="AG5" i="5219"/>
  <c r="AG4" i="5219"/>
  <c r="AG16" i="5219" s="1"/>
  <c r="AG15" i="5218"/>
  <c r="AG14" i="5218"/>
  <c r="AG13" i="5218"/>
  <c r="AG12" i="5218"/>
  <c r="AG11" i="5218"/>
  <c r="AG10" i="5218"/>
  <c r="AG9" i="5218"/>
  <c r="AG8" i="5218"/>
  <c r="AG7" i="5218"/>
  <c r="AG6" i="5218"/>
  <c r="AG5" i="5218"/>
  <c r="AG4" i="5218"/>
  <c r="AG16" i="5218" s="1"/>
  <c r="AG15" i="5217"/>
  <c r="AG14" i="5217"/>
  <c r="AG13" i="5217"/>
  <c r="AG12" i="5217"/>
  <c r="AG11" i="5217"/>
  <c r="AG10" i="5217"/>
  <c r="AG9" i="5217"/>
  <c r="AG8" i="5217"/>
  <c r="AG7" i="5217"/>
  <c r="AG6" i="5217"/>
  <c r="AG5" i="5217"/>
  <c r="AG4" i="5217"/>
  <c r="AG16" i="5217" s="1"/>
  <c r="AG15" i="5216"/>
  <c r="AG14" i="5216"/>
  <c r="AG13" i="5216"/>
  <c r="AG12" i="5216"/>
  <c r="AG11" i="5216"/>
  <c r="AG10" i="5216"/>
  <c r="AG9" i="5216"/>
  <c r="AG8" i="5216"/>
  <c r="AG7" i="5216"/>
  <c r="AG6" i="5216"/>
  <c r="AG5" i="5216"/>
  <c r="AG4" i="5216"/>
  <c r="AG16" i="5216" s="1"/>
  <c r="AG15" i="5215"/>
  <c r="AG14" i="5215"/>
  <c r="AG13" i="5215"/>
  <c r="AG12" i="5215"/>
  <c r="AG11" i="5215"/>
  <c r="AG10" i="5215"/>
  <c r="AG9" i="5215"/>
  <c r="AG8" i="5215"/>
  <c r="AG7" i="5215"/>
  <c r="AG6" i="5215"/>
  <c r="AG5" i="5215"/>
  <c r="AG4" i="5215"/>
  <c r="AG16" i="5215" s="1"/>
  <c r="AG15" i="5214"/>
  <c r="AG14" i="5214"/>
  <c r="AG13" i="5214"/>
  <c r="AG12" i="5214"/>
  <c r="AG11" i="5214"/>
  <c r="AG10" i="5214"/>
  <c r="AG9" i="5214"/>
  <c r="AG8" i="5214"/>
  <c r="AG7" i="5214"/>
  <c r="AG6" i="5214"/>
  <c r="AG5" i="5214"/>
  <c r="AG4" i="5214"/>
  <c r="AG16" i="5214" s="1"/>
  <c r="AG15" i="5213"/>
  <c r="AG14" i="5213"/>
  <c r="AG13" i="5213"/>
  <c r="AG12" i="5213"/>
  <c r="AG11" i="5213"/>
  <c r="AG10" i="5213"/>
  <c r="AG9" i="5213"/>
  <c r="AG8" i="5213"/>
  <c r="AG7" i="5213"/>
  <c r="AG6" i="5213"/>
  <c r="AG5" i="5213"/>
  <c r="AG4" i="5213"/>
  <c r="AG16" i="5213" s="1"/>
  <c r="AG15" i="5212"/>
  <c r="AG14" i="5212"/>
  <c r="AG13" i="5212"/>
  <c r="AG12" i="5212"/>
  <c r="AG11" i="5212"/>
  <c r="AG10" i="5212"/>
  <c r="AG9" i="5212"/>
  <c r="AG8" i="5212"/>
  <c r="AG7" i="5212"/>
  <c r="AG6" i="5212"/>
  <c r="AG5" i="5212"/>
  <c r="AG4" i="5212"/>
  <c r="AG16" i="5212" s="1"/>
  <c r="AG15" i="5211"/>
  <c r="AG14" i="5211"/>
  <c r="AG13" i="5211"/>
  <c r="AG12" i="5211"/>
  <c r="AG11" i="5211"/>
  <c r="AG10" i="5211"/>
  <c r="AG9" i="5211"/>
  <c r="AG8" i="5211"/>
  <c r="AG7" i="5211"/>
  <c r="AG6" i="5211"/>
  <c r="AG5" i="5211"/>
  <c r="AG4" i="5211"/>
  <c r="AG16" i="5211" s="1"/>
  <c r="AG15" i="5210"/>
  <c r="AG14" i="5210"/>
  <c r="AG13" i="5210"/>
  <c r="AG12" i="5210"/>
  <c r="AG11" i="5210"/>
  <c r="AG10" i="5210"/>
  <c r="AG9" i="5210"/>
  <c r="AG8" i="5210"/>
  <c r="AG7" i="5210"/>
  <c r="AG6" i="5210"/>
  <c r="AG5" i="5210"/>
  <c r="AG4" i="5210"/>
  <c r="AG16" i="5210" s="1"/>
  <c r="AG15" i="5209"/>
  <c r="AG14" i="5209"/>
  <c r="AG13" i="5209"/>
  <c r="AG12" i="5209"/>
  <c r="AG11" i="5209"/>
  <c r="AG10" i="5209"/>
  <c r="AG9" i="5209"/>
  <c r="AG8" i="5209"/>
  <c r="AG7" i="5209"/>
  <c r="AG6" i="5209"/>
  <c r="AG5" i="5209"/>
  <c r="AG4" i="5209"/>
  <c r="AG16" i="5209" s="1"/>
  <c r="AG15" i="5208"/>
  <c r="AG14" i="5208"/>
  <c r="AG13" i="5208"/>
  <c r="AG12" i="5208"/>
  <c r="AG11" i="5208"/>
  <c r="AG10" i="5208"/>
  <c r="AG9" i="5208"/>
  <c r="AG8" i="5208"/>
  <c r="AG7" i="5208"/>
  <c r="AG6" i="5208"/>
  <c r="AG5" i="5208"/>
  <c r="AG4" i="5208"/>
  <c r="AG16" i="5208" s="1"/>
  <c r="AG15" i="5207"/>
  <c r="AG14" i="5207"/>
  <c r="AG13" i="5207"/>
  <c r="AG12" i="5207"/>
  <c r="AG11" i="5207"/>
  <c r="AG10" i="5207"/>
  <c r="AG9" i="5207"/>
  <c r="AG8" i="5207"/>
  <c r="AG7" i="5207"/>
  <c r="AG6" i="5207"/>
  <c r="AG5" i="5207"/>
  <c r="AG4" i="5207"/>
  <c r="AG16" i="5207" s="1"/>
  <c r="AG15" i="5206"/>
  <c r="AG14" i="5206"/>
  <c r="AG13" i="5206"/>
  <c r="AG12" i="5206"/>
  <c r="AG11" i="5206"/>
  <c r="AG10" i="5206"/>
  <c r="AG9" i="5206"/>
  <c r="AG8" i="5206"/>
  <c r="AG7" i="5206"/>
  <c r="AG6" i="5206"/>
  <c r="AG5" i="5206"/>
  <c r="AG4" i="5206"/>
  <c r="AG16" i="5206" s="1"/>
  <c r="AG15" i="5205"/>
  <c r="AG14" i="5205"/>
  <c r="AG13" i="5205"/>
  <c r="AG12" i="5205"/>
  <c r="AG11" i="5205"/>
  <c r="AG10" i="5205"/>
  <c r="AG9" i="5205"/>
  <c r="AG8" i="5205"/>
  <c r="AG7" i="5205"/>
  <c r="AG6" i="5205"/>
  <c r="AG5" i="5205"/>
  <c r="AG4" i="5205"/>
  <c r="AG16" i="5205" s="1"/>
  <c r="AG15" i="5204"/>
  <c r="AG14" i="5204"/>
  <c r="AG13" i="5204"/>
  <c r="AG12" i="5204"/>
  <c r="AG11" i="5204"/>
  <c r="AG10" i="5204"/>
  <c r="AG9" i="5204"/>
  <c r="AG8" i="5204"/>
  <c r="AG7" i="5204"/>
  <c r="AG6" i="5204"/>
  <c r="AG5" i="5204"/>
  <c r="AG4" i="5204"/>
  <c r="AG16" i="5204" s="1"/>
  <c r="AG15" i="5203"/>
  <c r="AG14" i="5203"/>
  <c r="AG13" i="5203"/>
  <c r="AG12" i="5203"/>
  <c r="AG11" i="5203"/>
  <c r="AG10" i="5203"/>
  <c r="AG9" i="5203"/>
  <c r="AG8" i="5203"/>
  <c r="AG7" i="5203"/>
  <c r="AG6" i="5203"/>
  <c r="AG5" i="5203"/>
  <c r="AG4" i="5203"/>
  <c r="AG16" i="5203" s="1"/>
  <c r="AG15" i="5202"/>
  <c r="AG14" i="5202"/>
  <c r="AG13" i="5202"/>
  <c r="AG12" i="5202"/>
  <c r="AG11" i="5202"/>
  <c r="AG10" i="5202"/>
  <c r="AG9" i="5202"/>
  <c r="AG8" i="5202"/>
  <c r="AG7" i="5202"/>
  <c r="AG6" i="5202"/>
  <c r="AG5" i="5202"/>
  <c r="AG4" i="5202"/>
  <c r="AG16" i="5202" s="1"/>
  <c r="AG15" i="5201"/>
  <c r="AG14" i="5201"/>
  <c r="AG13" i="5201"/>
  <c r="AG12" i="5201"/>
  <c r="AG11" i="5201"/>
  <c r="AG10" i="5201"/>
  <c r="AG9" i="5201"/>
  <c r="AG8" i="5201"/>
  <c r="AG7" i="5201"/>
  <c r="AG6" i="5201"/>
  <c r="AG5" i="5201"/>
  <c r="AG4" i="5201"/>
  <c r="AG16" i="5201" s="1"/>
  <c r="AG15" i="5200"/>
  <c r="AG14" i="5200"/>
  <c r="AG13" i="5200"/>
  <c r="AG12" i="5200"/>
  <c r="AG11" i="5200"/>
  <c r="AG10" i="5200"/>
  <c r="AG9" i="5200"/>
  <c r="AG8" i="5200"/>
  <c r="AG7" i="5200"/>
  <c r="AG6" i="5200"/>
  <c r="AG5" i="5200"/>
  <c r="AG4" i="5200"/>
  <c r="AG16" i="5200" s="1"/>
  <c r="AG15" i="5199"/>
  <c r="AG14" i="5199"/>
  <c r="AG13" i="5199"/>
  <c r="AG12" i="5199"/>
  <c r="AG11" i="5199"/>
  <c r="AG10" i="5199"/>
  <c r="AG9" i="5199"/>
  <c r="AG8" i="5199"/>
  <c r="AG7" i="5199"/>
  <c r="AG6" i="5199"/>
  <c r="AG5" i="5199"/>
  <c r="AG4" i="5199"/>
  <c r="AG16" i="5199" s="1"/>
  <c r="AG15" i="5198"/>
  <c r="AG14" i="5198"/>
  <c r="AG13" i="5198"/>
  <c r="AG12" i="5198"/>
  <c r="AG11" i="5198"/>
  <c r="AG10" i="5198"/>
  <c r="AG9" i="5198"/>
  <c r="AG8" i="5198"/>
  <c r="AG7" i="5198"/>
  <c r="AG6" i="5198"/>
  <c r="AG5" i="5198"/>
  <c r="AG4" i="5198"/>
  <c r="AG16" i="5198" s="1"/>
  <c r="AG15" i="5197"/>
  <c r="AG14" i="5197"/>
  <c r="AG13" i="5197"/>
  <c r="AG12" i="5197"/>
  <c r="AG11" i="5197"/>
  <c r="AG10" i="5197"/>
  <c r="AG9" i="5197"/>
  <c r="AG8" i="5197"/>
  <c r="AG7" i="5197"/>
  <c r="AG6" i="5197"/>
  <c r="AG5" i="5197"/>
  <c r="AG4" i="5197"/>
  <c r="AG16" i="5197" s="1"/>
  <c r="AG15" i="5196"/>
  <c r="AG14" i="5196"/>
  <c r="AG13" i="5196"/>
  <c r="AG12" i="5196"/>
  <c r="AG11" i="5196"/>
  <c r="AG10" i="5196"/>
  <c r="AG9" i="5196"/>
  <c r="AG8" i="5196"/>
  <c r="AG7" i="5196"/>
  <c r="AG6" i="5196"/>
  <c r="AG5" i="5196"/>
  <c r="AG4" i="5196"/>
  <c r="AG16" i="5196" s="1"/>
  <c r="AG15" i="5195"/>
  <c r="AG14" i="5195"/>
  <c r="AG13" i="5195"/>
  <c r="AG12" i="5195"/>
  <c r="AG11" i="5195"/>
  <c r="AG10" i="5195"/>
  <c r="AG9" i="5195"/>
  <c r="AG8" i="5195"/>
  <c r="AG7" i="5195"/>
  <c r="AG6" i="5195"/>
  <c r="AG5" i="5195"/>
  <c r="AG4" i="5195"/>
  <c r="AG16" i="5195" s="1"/>
  <c r="AG15" i="5194"/>
  <c r="AG14" i="5194"/>
  <c r="AG13" i="5194"/>
  <c r="AG12" i="5194"/>
  <c r="AG11" i="5194"/>
  <c r="AG10" i="5194"/>
  <c r="AG9" i="5194"/>
  <c r="AG8" i="5194"/>
  <c r="AG7" i="5194"/>
  <c r="AG6" i="5194"/>
  <c r="AG5" i="5194"/>
  <c r="AG4" i="5194"/>
  <c r="AG16" i="5194" s="1"/>
  <c r="AG15" i="5193"/>
  <c r="AG14" i="5193"/>
  <c r="AG13" i="5193"/>
  <c r="AG12" i="5193"/>
  <c r="AG11" i="5193"/>
  <c r="AG10" i="5193"/>
  <c r="AG9" i="5193"/>
  <c r="AG8" i="5193"/>
  <c r="AG7" i="5193"/>
  <c r="AG6" i="5193"/>
  <c r="AG5" i="5193"/>
  <c r="AG4" i="5193"/>
  <c r="AG16" i="5193" s="1"/>
  <c r="AG15" i="5192"/>
  <c r="AG14" i="5192"/>
  <c r="AG13" i="5192"/>
  <c r="AG12" i="5192"/>
  <c r="AG11" i="5192"/>
  <c r="AG10" i="5192"/>
  <c r="AG9" i="5192"/>
  <c r="AG8" i="5192"/>
  <c r="AG7" i="5192"/>
  <c r="AG6" i="5192"/>
  <c r="AG5" i="5192"/>
  <c r="AG4" i="5192"/>
  <c r="AG16" i="5192" s="1"/>
  <c r="AG15" i="5191"/>
  <c r="AG14" i="5191"/>
  <c r="AG13" i="5191"/>
  <c r="AG12" i="5191"/>
  <c r="AG11" i="5191"/>
  <c r="AG10" i="5191"/>
  <c r="AG9" i="5191"/>
  <c r="AG8" i="5191"/>
  <c r="AG7" i="5191"/>
  <c r="AG6" i="5191"/>
  <c r="AG5" i="5191"/>
  <c r="AG4" i="5191"/>
  <c r="AG16" i="5191" s="1"/>
  <c r="AG15" i="5190"/>
  <c r="AG14" i="5190"/>
  <c r="AG13" i="5190"/>
  <c r="AG12" i="5190"/>
  <c r="AG11" i="5190"/>
  <c r="AG10" i="5190"/>
  <c r="AG9" i="5190"/>
  <c r="AG8" i="5190"/>
  <c r="AG7" i="5190"/>
  <c r="AG6" i="5190"/>
  <c r="AG5" i="5190"/>
  <c r="AG4" i="5190"/>
  <c r="AG16" i="5190" s="1"/>
  <c r="AG15" i="5189"/>
  <c r="AG14" i="5189"/>
  <c r="AG13" i="5189"/>
  <c r="AG12" i="5189"/>
  <c r="AG11" i="5189"/>
  <c r="AG10" i="5189"/>
  <c r="AG9" i="5189"/>
  <c r="AG8" i="5189"/>
  <c r="AG7" i="5189"/>
  <c r="AG6" i="5189"/>
  <c r="AG5" i="5189"/>
  <c r="AG4" i="5189"/>
  <c r="AG16" i="5189" s="1"/>
  <c r="AG15" i="5188"/>
  <c r="AG14" i="5188"/>
  <c r="AG13" i="5188"/>
  <c r="AG12" i="5188"/>
  <c r="AG11" i="5188"/>
  <c r="AG10" i="5188"/>
  <c r="AG9" i="5188"/>
  <c r="AG8" i="5188"/>
  <c r="AG7" i="5188"/>
  <c r="AG6" i="5188"/>
  <c r="AG5" i="5188"/>
  <c r="AG4" i="5188"/>
  <c r="AG16" i="5188" s="1"/>
  <c r="AG15" i="5187"/>
  <c r="AG14" i="5187"/>
  <c r="AG13" i="5187"/>
  <c r="AG12" i="5187"/>
  <c r="AG11" i="5187"/>
  <c r="AG10" i="5187"/>
  <c r="AG9" i="5187"/>
  <c r="AG8" i="5187"/>
  <c r="AG7" i="5187"/>
  <c r="AG6" i="5187"/>
  <c r="AG5" i="5187"/>
  <c r="AG4" i="5187"/>
  <c r="AG16" i="5187" s="1"/>
  <c r="AG15" i="5186"/>
  <c r="AG14" i="5186"/>
  <c r="AG13" i="5186"/>
  <c r="AG12" i="5186"/>
  <c r="AG11" i="5186"/>
  <c r="AG10" i="5186"/>
  <c r="AG9" i="5186"/>
  <c r="AG8" i="5186"/>
  <c r="AG7" i="5186"/>
  <c r="AG6" i="5186"/>
  <c r="AG5" i="5186"/>
  <c r="AG4" i="5186"/>
  <c r="AG16" i="5186" s="1"/>
  <c r="AG15" i="5185"/>
  <c r="AG14" i="5185"/>
  <c r="AG13" i="5185"/>
  <c r="AG12" i="5185"/>
  <c r="AG11" i="5185"/>
  <c r="AG10" i="5185"/>
  <c r="AG9" i="5185"/>
  <c r="AG8" i="5185"/>
  <c r="AG7" i="5185"/>
  <c r="AG6" i="5185"/>
  <c r="AG5" i="5185"/>
  <c r="AG4" i="5185"/>
  <c r="AG16" i="5185" s="1"/>
  <c r="AG15" i="5184"/>
  <c r="AG14" i="5184"/>
  <c r="AG13" i="5184"/>
  <c r="AG12" i="5184"/>
  <c r="AG11" i="5184"/>
  <c r="AG10" i="5184"/>
  <c r="AG9" i="5184"/>
  <c r="AG8" i="5184"/>
  <c r="AG7" i="5184"/>
  <c r="AG6" i="5184"/>
  <c r="AG5" i="5184"/>
  <c r="AG4" i="5184"/>
  <c r="AG16" i="5184" s="1"/>
  <c r="AG15" i="5183"/>
  <c r="AG14" i="5183"/>
  <c r="AG13" i="5183"/>
  <c r="AG12" i="5183"/>
  <c r="AG11" i="5183"/>
  <c r="AG10" i="5183"/>
  <c r="AG9" i="5183"/>
  <c r="AG8" i="5183"/>
  <c r="AG7" i="5183"/>
  <c r="AG6" i="5183"/>
  <c r="AG5" i="5183"/>
  <c r="AG4" i="5183"/>
  <c r="AG16" i="5183" s="1"/>
  <c r="AG15" i="5182"/>
  <c r="AG14" i="5182"/>
  <c r="AG13" i="5182"/>
  <c r="AG12" i="5182"/>
  <c r="AG11" i="5182"/>
  <c r="AG10" i="5182"/>
  <c r="AG9" i="5182"/>
  <c r="AG8" i="5182"/>
  <c r="AG7" i="5182"/>
  <c r="AG6" i="5182"/>
  <c r="AG5" i="5182"/>
  <c r="AG4" i="5182"/>
  <c r="AG16" i="5182" s="1"/>
  <c r="AG15" i="5181"/>
  <c r="AG14" i="5181"/>
  <c r="AG13" i="5181"/>
  <c r="AG12" i="5181"/>
  <c r="AG11" i="5181"/>
  <c r="AG10" i="5181"/>
  <c r="AG9" i="5181"/>
  <c r="AG8" i="5181"/>
  <c r="AG7" i="5181"/>
  <c r="AG6" i="5181"/>
  <c r="AG5" i="5181"/>
  <c r="AG4" i="5181"/>
  <c r="AG16" i="5181" s="1"/>
  <c r="AG15" i="5180"/>
  <c r="AG14" i="5180"/>
  <c r="AG13" i="5180"/>
  <c r="AG12" i="5180"/>
  <c r="AG11" i="5180"/>
  <c r="AG10" i="5180"/>
  <c r="AG9" i="5180"/>
  <c r="AG8" i="5180"/>
  <c r="AG7" i="5180"/>
  <c r="AG6" i="5180"/>
  <c r="AG5" i="5180"/>
  <c r="AG4" i="5180"/>
  <c r="AG16" i="5180" s="1"/>
  <c r="AG15" i="5179"/>
  <c r="AG14" i="5179"/>
  <c r="AG13" i="5179"/>
  <c r="AG12" i="5179"/>
  <c r="AG11" i="5179"/>
  <c r="AG10" i="5179"/>
  <c r="AG9" i="5179"/>
  <c r="AG8" i="5179"/>
  <c r="AG7" i="5179"/>
  <c r="AG6" i="5179"/>
  <c r="AG5" i="5179"/>
  <c r="AG4" i="5179"/>
  <c r="AG16" i="5179" s="1"/>
  <c r="AG15" i="5178"/>
  <c r="AG14" i="5178"/>
  <c r="AG13" i="5178"/>
  <c r="AG12" i="5178"/>
  <c r="AG11" i="5178"/>
  <c r="AG10" i="5178"/>
  <c r="AG9" i="5178"/>
  <c r="AG8" i="5178"/>
  <c r="AG7" i="5178"/>
  <c r="AG6" i="5178"/>
  <c r="AG5" i="5178"/>
  <c r="AG4" i="5178"/>
  <c r="AG16" i="5178" s="1"/>
  <c r="AG15" i="5177"/>
  <c r="AG14" i="5177"/>
  <c r="AG13" i="5177"/>
  <c r="AG12" i="5177"/>
  <c r="AG11" i="5177"/>
  <c r="AG10" i="5177"/>
  <c r="AG9" i="5177"/>
  <c r="AG8" i="5177"/>
  <c r="AG7" i="5177"/>
  <c r="AG6" i="5177"/>
  <c r="AG5" i="5177"/>
  <c r="AG4" i="5177"/>
  <c r="AG16" i="5177" s="1"/>
  <c r="AG15" i="5176"/>
  <c r="AG14" i="5176"/>
  <c r="AG13" i="5176"/>
  <c r="AG12" i="5176"/>
  <c r="AG11" i="5176"/>
  <c r="AG10" i="5176"/>
  <c r="AG9" i="5176"/>
  <c r="AG8" i="5176"/>
  <c r="AG7" i="5176"/>
  <c r="AG6" i="5176"/>
  <c r="AG5" i="5176"/>
  <c r="AG4" i="5176"/>
  <c r="AG16" i="5176" s="1"/>
  <c r="AG15" i="5175"/>
  <c r="AG14" i="5175"/>
  <c r="AG13" i="5175"/>
  <c r="AG12" i="5175"/>
  <c r="AG11" i="5175"/>
  <c r="AG10" i="5175"/>
  <c r="AG9" i="5175"/>
  <c r="AG8" i="5175"/>
  <c r="AG7" i="5175"/>
  <c r="AG6" i="5175"/>
  <c r="AG5" i="5175"/>
  <c r="AG4" i="5175"/>
  <c r="AG16" i="5175" s="1"/>
  <c r="AG15" i="5174"/>
  <c r="AG14" i="5174"/>
  <c r="AG13" i="5174"/>
  <c r="AG12" i="5174"/>
  <c r="AG11" i="5174"/>
  <c r="AG10" i="5174"/>
  <c r="AG9" i="5174"/>
  <c r="AG8" i="5174"/>
  <c r="AG7" i="5174"/>
  <c r="AG6" i="5174"/>
  <c r="AG5" i="5174"/>
  <c r="AG4" i="5174"/>
  <c r="AG16" i="5174" s="1"/>
  <c r="AG15" i="5173"/>
  <c r="AG14" i="5173"/>
  <c r="AG13" i="5173"/>
  <c r="AG12" i="5173"/>
  <c r="AG11" i="5173"/>
  <c r="AG10" i="5173"/>
  <c r="AG9" i="5173"/>
  <c r="AG8" i="5173"/>
  <c r="AG7" i="5173"/>
  <c r="AG6" i="5173"/>
  <c r="AG5" i="5173"/>
  <c r="AG4" i="5173"/>
  <c r="AG16" i="5173" s="1"/>
  <c r="AG15" i="5172"/>
  <c r="AG14" i="5172"/>
  <c r="AG13" i="5172"/>
  <c r="AG12" i="5172"/>
  <c r="AG11" i="5172"/>
  <c r="AG10" i="5172"/>
  <c r="AG9" i="5172"/>
  <c r="AG8" i="5172"/>
  <c r="AG7" i="5172"/>
  <c r="AG6" i="5172"/>
  <c r="AG5" i="5172"/>
  <c r="AG4" i="5172"/>
  <c r="AG16" i="5172" s="1"/>
  <c r="AG15" i="5171"/>
  <c r="AG14" i="5171"/>
  <c r="AG13" i="5171"/>
  <c r="AG12" i="5171"/>
  <c r="AG11" i="5171"/>
  <c r="AG10" i="5171"/>
  <c r="AG9" i="5171"/>
  <c r="AG8" i="5171"/>
  <c r="AG7" i="5171"/>
  <c r="AG6" i="5171"/>
  <c r="AG5" i="5171"/>
  <c r="AG4" i="5171"/>
  <c r="AG16" i="5171" s="1"/>
  <c r="AG15" i="5170"/>
  <c r="AG14" i="5170"/>
  <c r="AG13" i="5170"/>
  <c r="AG12" i="5170"/>
  <c r="AG11" i="5170"/>
  <c r="AG10" i="5170"/>
  <c r="AG9" i="5170"/>
  <c r="AG8" i="5170"/>
  <c r="AG7" i="5170"/>
  <c r="AG6" i="5170"/>
  <c r="AG5" i="5170"/>
  <c r="AG4" i="5170"/>
  <c r="AG16" i="5170" s="1"/>
  <c r="AG15" i="5169"/>
  <c r="AG14" i="5169"/>
  <c r="AG13" i="5169"/>
  <c r="AG12" i="5169"/>
  <c r="AG11" i="5169"/>
  <c r="AG10" i="5169"/>
  <c r="AG9" i="5169"/>
  <c r="AG8" i="5169"/>
  <c r="AG7" i="5169"/>
  <c r="AG6" i="5169"/>
  <c r="AG5" i="5169"/>
  <c r="AG4" i="5169"/>
  <c r="AG16" i="5169" s="1"/>
  <c r="AG15" i="5168"/>
  <c r="AG14" i="5168"/>
  <c r="AG13" i="5168"/>
  <c r="AG12" i="5168"/>
  <c r="AG11" i="5168"/>
  <c r="AG10" i="5168"/>
  <c r="AG9" i="5168"/>
  <c r="AG8" i="5168"/>
  <c r="AG7" i="5168"/>
  <c r="AG6" i="5168"/>
  <c r="AG5" i="5168"/>
  <c r="AG4" i="5168"/>
  <c r="AG16" i="5168" s="1"/>
  <c r="AG15" i="5167"/>
  <c r="AG14" i="5167"/>
  <c r="AG13" i="5167"/>
  <c r="AG12" i="5167"/>
  <c r="AG11" i="5167"/>
  <c r="AG10" i="5167"/>
  <c r="AG9" i="5167"/>
  <c r="AG8" i="5167"/>
  <c r="AG7" i="5167"/>
  <c r="AG6" i="5167"/>
  <c r="AG5" i="5167"/>
  <c r="AG4" i="5167"/>
  <c r="AG16" i="5167" s="1"/>
  <c r="AG15" i="5166"/>
  <c r="AG14" i="5166"/>
  <c r="AG13" i="5166"/>
  <c r="AG12" i="5166"/>
  <c r="AG11" i="5166"/>
  <c r="AG10" i="5166"/>
  <c r="AG9" i="5166"/>
  <c r="AG8" i="5166"/>
  <c r="AG7" i="5166"/>
  <c r="AG6" i="5166"/>
  <c r="AG5" i="5166"/>
  <c r="AG4" i="5166"/>
  <c r="AG16" i="5166" s="1"/>
  <c r="AG15" i="5165"/>
  <c r="AG14" i="5165"/>
  <c r="AG13" i="5165"/>
  <c r="AG12" i="5165"/>
  <c r="AG11" i="5165"/>
  <c r="AG10" i="5165"/>
  <c r="AG9" i="5165"/>
  <c r="AG8" i="5165"/>
  <c r="AG7" i="5165"/>
  <c r="AG6" i="5165"/>
  <c r="AG5" i="5165"/>
  <c r="AG4" i="5165"/>
  <c r="AG16" i="5165" s="1"/>
  <c r="AG15" i="5164"/>
  <c r="AG14" i="5164"/>
  <c r="AG13" i="5164"/>
  <c r="AG12" i="5164"/>
  <c r="AG11" i="5164"/>
  <c r="AG10" i="5164"/>
  <c r="AG9" i="5164"/>
  <c r="AG8" i="5164"/>
  <c r="AG7" i="5164"/>
  <c r="AG6" i="5164"/>
  <c r="AG5" i="5164"/>
  <c r="AG4" i="5164"/>
  <c r="AG16" i="5164" s="1"/>
  <c r="AG15" i="5163"/>
  <c r="AG14" i="5163"/>
  <c r="AG13" i="5163"/>
  <c r="AG12" i="5163"/>
  <c r="AG11" i="5163"/>
  <c r="AG10" i="5163"/>
  <c r="AG9" i="5163"/>
  <c r="AG8" i="5163"/>
  <c r="AG7" i="5163"/>
  <c r="AG6" i="5163"/>
  <c r="AG5" i="5163"/>
  <c r="AG4" i="5163"/>
  <c r="AG16" i="5163" s="1"/>
  <c r="AG15" i="5162"/>
  <c r="AG14" i="5162"/>
  <c r="AG13" i="5162"/>
  <c r="AG12" i="5162"/>
  <c r="AG11" i="5162"/>
  <c r="AG10" i="5162"/>
  <c r="AG9" i="5162"/>
  <c r="AG8" i="5162"/>
  <c r="AG7" i="5162"/>
  <c r="AG6" i="5162"/>
  <c r="AG5" i="5162"/>
  <c r="AG4" i="5162"/>
  <c r="AG16" i="5162" s="1"/>
  <c r="AG15" i="5161"/>
  <c r="AG14" i="5161"/>
  <c r="AG13" i="5161"/>
  <c r="AG12" i="5161"/>
  <c r="AG11" i="5161"/>
  <c r="AG10" i="5161"/>
  <c r="AG9" i="5161"/>
  <c r="AG8" i="5161"/>
  <c r="AG7" i="5161"/>
  <c r="AG6" i="5161"/>
  <c r="AG5" i="5161"/>
  <c r="AG4" i="5161"/>
  <c r="AG16" i="5161" s="1"/>
  <c r="AG15" i="5160"/>
  <c r="AG14" i="5160"/>
  <c r="AG13" i="5160"/>
  <c r="AG12" i="5160"/>
  <c r="AG11" i="5160"/>
  <c r="AG10" i="5160"/>
  <c r="AG9" i="5160"/>
  <c r="AG8" i="5160"/>
  <c r="AG7" i="5160"/>
  <c r="AG6" i="5160"/>
  <c r="AG5" i="5160"/>
  <c r="AG4" i="5160"/>
  <c r="AG16" i="5160" s="1"/>
  <c r="AG15" i="5159"/>
  <c r="AG14" i="5159"/>
  <c r="AG13" i="5159"/>
  <c r="AG12" i="5159"/>
  <c r="AG11" i="5159"/>
  <c r="AG10" i="5159"/>
  <c r="AG9" i="5159"/>
  <c r="AG8" i="5159"/>
  <c r="AG7" i="5159"/>
  <c r="AG6" i="5159"/>
  <c r="AG5" i="5159"/>
  <c r="AG4" i="5159"/>
  <c r="AG16" i="5159" s="1"/>
  <c r="AG15" i="5158"/>
  <c r="AG14" i="5158"/>
  <c r="AG13" i="5158"/>
  <c r="AG12" i="5158"/>
  <c r="AG11" i="5158"/>
  <c r="AG10" i="5158"/>
  <c r="AG9" i="5158"/>
  <c r="AG8" i="5158"/>
  <c r="AG7" i="5158"/>
  <c r="AG6" i="5158"/>
  <c r="AG5" i="5158"/>
  <c r="AG4" i="5158"/>
  <c r="AG16" i="5158" s="1"/>
  <c r="AG15" i="5157"/>
  <c r="AG14" i="5157"/>
  <c r="AG13" i="5157"/>
  <c r="AG12" i="5157"/>
  <c r="AG11" i="5157"/>
  <c r="AG10" i="5157"/>
  <c r="AG9" i="5157"/>
  <c r="AG8" i="5157"/>
  <c r="AG7" i="5157"/>
  <c r="AG6" i="5157"/>
  <c r="AG5" i="5157"/>
  <c r="AG4" i="5157"/>
  <c r="AG16" i="5157" s="1"/>
  <c r="AG15" i="5156"/>
  <c r="AG14" i="5156"/>
  <c r="AG13" i="5156"/>
  <c r="AG12" i="5156"/>
  <c r="AG11" i="5156"/>
  <c r="AG10" i="5156"/>
  <c r="AG9" i="5156"/>
  <c r="AG8" i="5156"/>
  <c r="AG7" i="5156"/>
  <c r="AG6" i="5156"/>
  <c r="AG5" i="5156"/>
  <c r="AG4" i="5156"/>
  <c r="AG16" i="5156" s="1"/>
  <c r="AG15" i="5155"/>
  <c r="AG14" i="5155"/>
  <c r="AG13" i="5155"/>
  <c r="AG12" i="5155"/>
  <c r="AG11" i="5155"/>
  <c r="AG10" i="5155"/>
  <c r="AG9" i="5155"/>
  <c r="AG8" i="5155"/>
  <c r="AG7" i="5155"/>
  <c r="AG6" i="5155"/>
  <c r="AG5" i="5155"/>
  <c r="AG4" i="5155"/>
  <c r="AG16" i="5155" s="1"/>
  <c r="AG15" i="5154"/>
  <c r="AG14" i="5154"/>
  <c r="AG13" i="5154"/>
  <c r="AG12" i="5154"/>
  <c r="AG11" i="5154"/>
  <c r="AG10" i="5154"/>
  <c r="AG9" i="5154"/>
  <c r="AG8" i="5154"/>
  <c r="AG7" i="5154"/>
  <c r="AG6" i="5154"/>
  <c r="AG5" i="5154"/>
  <c r="AG4" i="5154"/>
  <c r="AG16" i="5154" s="1"/>
  <c r="AG15" i="5153"/>
  <c r="AG14" i="5153"/>
  <c r="AG13" i="5153"/>
  <c r="AG12" i="5153"/>
  <c r="AG11" i="5153"/>
  <c r="AG10" i="5153"/>
  <c r="AG9" i="5153"/>
  <c r="AG8" i="5153"/>
  <c r="AG7" i="5153"/>
  <c r="AG6" i="5153"/>
  <c r="AG5" i="5153"/>
  <c r="AG4" i="5153"/>
  <c r="AG16" i="5153" s="1"/>
  <c r="AG15" i="5152"/>
  <c r="AG14" i="5152"/>
  <c r="AG13" i="5152"/>
  <c r="AG12" i="5152"/>
  <c r="AG11" i="5152"/>
  <c r="AG10" i="5152"/>
  <c r="AG9" i="5152"/>
  <c r="AG8" i="5152"/>
  <c r="AG7" i="5152"/>
  <c r="AG6" i="5152"/>
  <c r="AG5" i="5152"/>
  <c r="AG4" i="5152"/>
  <c r="AG16" i="5152" s="1"/>
  <c r="AG15" i="5151"/>
  <c r="AG14" i="5151"/>
  <c r="AG13" i="5151"/>
  <c r="AG12" i="5151"/>
  <c r="AG11" i="5151"/>
  <c r="AG10" i="5151"/>
  <c r="AG9" i="5151"/>
  <c r="AG8" i="5151"/>
  <c r="AG7" i="5151"/>
  <c r="AG6" i="5151"/>
  <c r="AG5" i="5151"/>
  <c r="AG4" i="5151"/>
  <c r="AG16" i="5151" s="1"/>
  <c r="AG15" i="5150"/>
  <c r="AG14" i="5150"/>
  <c r="AG13" i="5150"/>
  <c r="AG12" i="5150"/>
  <c r="AG11" i="5150"/>
  <c r="AG10" i="5150"/>
  <c r="AG9" i="5150"/>
  <c r="AG8" i="5150"/>
  <c r="AG7" i="5150"/>
  <c r="AG6" i="5150"/>
  <c r="AG5" i="5150"/>
  <c r="AG4" i="5150"/>
  <c r="AG16" i="5150" s="1"/>
  <c r="AG15" i="5149"/>
  <c r="AG14" i="5149"/>
  <c r="AG13" i="5149"/>
  <c r="AG12" i="5149"/>
  <c r="AG11" i="5149"/>
  <c r="AG10" i="5149"/>
  <c r="AG9" i="5149"/>
  <c r="AG8" i="5149"/>
  <c r="AG7" i="5149"/>
  <c r="AG6" i="5149"/>
  <c r="AG5" i="5149"/>
  <c r="AG4" i="5149"/>
  <c r="AG16" i="5149" s="1"/>
  <c r="AG15" i="5148"/>
  <c r="AG14" i="5148"/>
  <c r="AG13" i="5148"/>
  <c r="AG12" i="5148"/>
  <c r="AG11" i="5148"/>
  <c r="AG10" i="5148"/>
  <c r="AG9" i="5148"/>
  <c r="AG8" i="5148"/>
  <c r="AG7" i="5148"/>
  <c r="AG6" i="5148"/>
  <c r="AG5" i="5148"/>
  <c r="AG4" i="5148"/>
  <c r="AG16" i="5148" s="1"/>
  <c r="AG15" i="5147"/>
  <c r="AG14" i="5147"/>
  <c r="AG13" i="5147"/>
  <c r="AG12" i="5147"/>
  <c r="AG11" i="5147"/>
  <c r="AG10" i="5147"/>
  <c r="AG9" i="5147"/>
  <c r="AG8" i="5147"/>
  <c r="AG7" i="5147"/>
  <c r="AG6" i="5147"/>
  <c r="AG5" i="5147"/>
  <c r="AG4" i="5147"/>
  <c r="AG16" i="5147" s="1"/>
  <c r="AG16" i="5146"/>
  <c r="AG15" i="5146"/>
  <c r="AG14" i="5146"/>
  <c r="AG13" i="5146"/>
  <c r="AG12" i="5146"/>
  <c r="AG11" i="5146"/>
  <c r="AG10" i="5146"/>
  <c r="AG9" i="5146"/>
  <c r="AG8" i="5146"/>
  <c r="AG7" i="5146"/>
  <c r="AG6" i="5146"/>
  <c r="AG5" i="5146"/>
  <c r="AG4" i="5146"/>
  <c r="AG15" i="5145"/>
  <c r="AG14" i="5145"/>
  <c r="AG13" i="5145"/>
  <c r="AG12" i="5145"/>
  <c r="AG11" i="5145"/>
  <c r="AG10" i="5145"/>
  <c r="AG9" i="5145"/>
  <c r="AG8" i="5145"/>
  <c r="AG7" i="5145"/>
  <c r="AG6" i="5145"/>
  <c r="AG5" i="5145"/>
  <c r="AG4" i="5145"/>
  <c r="AG16" i="5145" s="1"/>
  <c r="AG15" i="5144"/>
  <c r="AG14" i="5144"/>
  <c r="AG13" i="5144"/>
  <c r="AG12" i="5144"/>
  <c r="AG11" i="5144"/>
  <c r="AG10" i="5144"/>
  <c r="AG9" i="5144"/>
  <c r="AG8" i="5144"/>
  <c r="AG7" i="5144"/>
  <c r="AG6" i="5144"/>
  <c r="AG5" i="5144"/>
  <c r="AG4" i="5144"/>
  <c r="AG16" i="5144" s="1"/>
  <c r="AG15" i="5143"/>
  <c r="AG14" i="5143"/>
  <c r="AG13" i="5143"/>
  <c r="AG12" i="5143"/>
  <c r="AG11" i="5143"/>
  <c r="AG10" i="5143"/>
  <c r="AG9" i="5143"/>
  <c r="AG8" i="5143"/>
  <c r="AG7" i="5143"/>
  <c r="AG6" i="5143"/>
  <c r="AG5" i="5143"/>
  <c r="AG4" i="5143"/>
  <c r="AG16" i="5143" s="1"/>
  <c r="AG15" i="5142"/>
  <c r="AG14" i="5142"/>
  <c r="AG13" i="5142"/>
  <c r="AG12" i="5142"/>
  <c r="AG11" i="5142"/>
  <c r="AG10" i="5142"/>
  <c r="AG9" i="5142"/>
  <c r="AG8" i="5142"/>
  <c r="AG7" i="5142"/>
  <c r="AG6" i="5142"/>
  <c r="AG5" i="5142"/>
  <c r="AG4" i="5142"/>
  <c r="AG16" i="5142" s="1"/>
  <c r="AG15" i="5141"/>
  <c r="AG14" i="5141"/>
  <c r="AG13" i="5141"/>
  <c r="AG12" i="5141"/>
  <c r="AG11" i="5141"/>
  <c r="AG10" i="5141"/>
  <c r="AG9" i="5141"/>
  <c r="AG8" i="5141"/>
  <c r="AG7" i="5141"/>
  <c r="AG6" i="5141"/>
  <c r="AG5" i="5141"/>
  <c r="AG4" i="5141"/>
  <c r="AG16" i="5141" s="1"/>
  <c r="AG15" i="5140"/>
  <c r="AG14" i="5140"/>
  <c r="AG13" i="5140"/>
  <c r="AG12" i="5140"/>
  <c r="AG11" i="5140"/>
  <c r="AG10" i="5140"/>
  <c r="AG9" i="5140"/>
  <c r="AG8" i="5140"/>
  <c r="AG7" i="5140"/>
  <c r="AG6" i="5140"/>
  <c r="AG5" i="5140"/>
  <c r="AG4" i="5140"/>
  <c r="AG16" i="5140" s="1"/>
  <c r="AG15" i="5139"/>
  <c r="AG14" i="5139"/>
  <c r="AG13" i="5139"/>
  <c r="AG12" i="5139"/>
  <c r="AG11" i="5139"/>
  <c r="AG10" i="5139"/>
  <c r="AG9" i="5139"/>
  <c r="AG8" i="5139"/>
  <c r="AG7" i="5139"/>
  <c r="AG6" i="5139"/>
  <c r="AG5" i="5139"/>
  <c r="AG4" i="5139"/>
  <c r="AG16" i="5139" s="1"/>
  <c r="AG15" i="5138"/>
  <c r="AG14" i="5138"/>
  <c r="AG13" i="5138"/>
  <c r="AG12" i="5138"/>
  <c r="AG11" i="5138"/>
  <c r="AG10" i="5138"/>
  <c r="AG9" i="5138"/>
  <c r="AG8" i="5138"/>
  <c r="AG7" i="5138"/>
  <c r="AG6" i="5138"/>
  <c r="AG5" i="5138"/>
  <c r="AG4" i="5138"/>
  <c r="AG16" i="5138" s="1"/>
  <c r="AG15" i="5137"/>
  <c r="AG14" i="5137"/>
  <c r="AG13" i="5137"/>
  <c r="AG12" i="5137"/>
  <c r="AG11" i="5137"/>
  <c r="AG10" i="5137"/>
  <c r="AG9" i="5137"/>
  <c r="AG8" i="5137"/>
  <c r="AG7" i="5137"/>
  <c r="AG6" i="5137"/>
  <c r="AG5" i="5137"/>
  <c r="AG4" i="5137"/>
  <c r="AG16" i="5137" s="1"/>
  <c r="AG15" i="5136"/>
  <c r="AG14" i="5136"/>
  <c r="AG13" i="5136"/>
  <c r="AG12" i="5136"/>
  <c r="AG11" i="5136"/>
  <c r="AG10" i="5136"/>
  <c r="AG9" i="5136"/>
  <c r="AG8" i="5136"/>
  <c r="AG7" i="5136"/>
  <c r="AG6" i="5136"/>
  <c r="AG5" i="5136"/>
  <c r="AG4" i="5136"/>
  <c r="AG16" i="5136" s="1"/>
  <c r="AG15" i="5135"/>
  <c r="AG14" i="5135"/>
  <c r="AG13" i="5135"/>
  <c r="AG12" i="5135"/>
  <c r="AG11" i="5135"/>
  <c r="AG10" i="5135"/>
  <c r="AG9" i="5135"/>
  <c r="AG8" i="5135"/>
  <c r="AG7" i="5135"/>
  <c r="AG6" i="5135"/>
  <c r="AG5" i="5135"/>
  <c r="AG4" i="5135"/>
  <c r="AG16" i="5135" s="1"/>
  <c r="AG15" i="5134"/>
  <c r="AG14" i="5134"/>
  <c r="AG13" i="5134"/>
  <c r="AG12" i="5134"/>
  <c r="AG11" i="5134"/>
  <c r="AG10" i="5134"/>
  <c r="AG9" i="5134"/>
  <c r="AG8" i="5134"/>
  <c r="AG7" i="5134"/>
  <c r="AG6" i="5134"/>
  <c r="AG5" i="5134"/>
  <c r="AG4" i="5134"/>
  <c r="AG16" i="5134" s="1"/>
  <c r="AG15" i="5133"/>
  <c r="AG14" i="5133"/>
  <c r="AG13" i="5133"/>
  <c r="AG12" i="5133"/>
  <c r="AG11" i="5133"/>
  <c r="AG10" i="5133"/>
  <c r="AG9" i="5133"/>
  <c r="AG8" i="5133"/>
  <c r="AG7" i="5133"/>
  <c r="AG6" i="5133"/>
  <c r="AG5" i="5133"/>
  <c r="AG4" i="5133"/>
  <c r="AG16" i="5133" s="1"/>
  <c r="AG15" i="5132"/>
  <c r="AG14" i="5132"/>
  <c r="AG13" i="5132"/>
  <c r="AG12" i="5132"/>
  <c r="AG11" i="5132"/>
  <c r="AG10" i="5132"/>
  <c r="AG9" i="5132"/>
  <c r="AG8" i="5132"/>
  <c r="AG7" i="5132"/>
  <c r="AG6" i="5132"/>
  <c r="AG5" i="5132"/>
  <c r="AG4" i="5132"/>
  <c r="AG16" i="5132" s="1"/>
  <c r="AG15" i="20" l="1"/>
  <c r="AG14" i="20"/>
  <c r="AG13" i="20"/>
  <c r="AG12" i="20"/>
  <c r="AG11" i="20"/>
  <c r="AG10" i="20"/>
  <c r="AG9" i="20"/>
  <c r="AG8" i="20"/>
  <c r="AG7" i="20"/>
  <c r="AG6" i="20"/>
  <c r="AG5" i="20"/>
  <c r="AG4" i="20"/>
  <c r="AG16" i="20" l="1"/>
</calcChain>
</file>

<file path=xl/sharedStrings.xml><?xml version="1.0" encoding="utf-8"?>
<sst xmlns="http://schemas.openxmlformats.org/spreadsheetml/2006/main" count="3956" uniqueCount="496">
  <si>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</si>
  <si>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</si>
  <si>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</si>
  <si>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</si>
  <si>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</si>
  <si>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</si>
  <si>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</si>
  <si>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</si>
  <si>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</si>
  <si>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</si>
  <si>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</si>
  <si>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日期</t>
    <phoneticPr fontId="1" type="noConversion"/>
  </si>
  <si>
    <t>姓名</t>
    <phoneticPr fontId="1" type="noConversion"/>
  </si>
  <si>
    <t>处置0</t>
    <phoneticPr fontId="1" type="noConversion"/>
  </si>
  <si>
    <t>处置1</t>
  </si>
  <si>
    <t>处置2</t>
  </si>
  <si>
    <t>处置3</t>
  </si>
  <si>
    <t>处置4</t>
  </si>
  <si>
    <t>处置5</t>
  </si>
  <si>
    <t>处置6</t>
  </si>
  <si>
    <t>处置8</t>
  </si>
  <si>
    <t>处置9</t>
  </si>
  <si>
    <t>处置10</t>
  </si>
  <si>
    <t>处置11</t>
  </si>
  <si>
    <t>诊断</t>
    <phoneticPr fontId="1" type="noConversion"/>
  </si>
  <si>
    <t>初诊</t>
    <phoneticPr fontId="1" type="noConversion"/>
  </si>
  <si>
    <t>复诊</t>
    <phoneticPr fontId="1" type="noConversion"/>
  </si>
  <si>
    <t>年龄</t>
    <phoneticPr fontId="1" type="noConversion"/>
  </si>
  <si>
    <t>一月</t>
    <phoneticPr fontId="1" type="noConversion"/>
  </si>
  <si>
    <t>日期</t>
    <phoneticPr fontId="1" type="noConversion"/>
  </si>
  <si>
    <t>规格:</t>
    <phoneticPr fontId="1" type="noConversion"/>
  </si>
  <si>
    <t>品名：</t>
    <phoneticPr fontId="1" type="noConversion"/>
  </si>
  <si>
    <t>药 品 逐 日 消 耗 登 记</t>
    <phoneticPr fontId="1" type="noConversion"/>
  </si>
  <si>
    <t>汇总</t>
    <phoneticPr fontId="1" type="noConversion"/>
  </si>
  <si>
    <t>返回</t>
    <phoneticPr fontId="1" type="noConversion"/>
  </si>
  <si>
    <t>计量单位:</t>
    <phoneticPr fontId="1" type="noConversion"/>
  </si>
  <si>
    <t>总和</t>
    <phoneticPr fontId="1" type="noConversion"/>
  </si>
  <si>
    <t>库存</t>
    <phoneticPr fontId="1" type="noConversion"/>
  </si>
  <si>
    <t>张小化</t>
    <phoneticPr fontId="1" type="noConversion"/>
  </si>
  <si>
    <t>张小二</t>
    <phoneticPr fontId="1" type="noConversion"/>
  </si>
  <si>
    <t>冰硼散</t>
  </si>
  <si>
    <t>3g</t>
  </si>
  <si>
    <t>支</t>
  </si>
  <si>
    <t>红霉素软膏</t>
  </si>
  <si>
    <t>10g</t>
  </si>
  <si>
    <t>红霉素眼膏</t>
  </si>
  <si>
    <t>2g</t>
  </si>
  <si>
    <t>20g</t>
  </si>
  <si>
    <t>复方黄连素</t>
  </si>
  <si>
    <t>100片</t>
  </si>
  <si>
    <t>瓶</t>
  </si>
  <si>
    <t>连花清瘟胶囊</t>
  </si>
  <si>
    <t>24粒</t>
  </si>
  <si>
    <t>盒</t>
  </si>
  <si>
    <t>马应龙麝香痔疮膏</t>
  </si>
  <si>
    <t>6支</t>
  </si>
  <si>
    <t>A1001</t>
  </si>
  <si>
    <t>粒</t>
  </si>
  <si>
    <t>A1002</t>
  </si>
  <si>
    <t>A1003</t>
  </si>
  <si>
    <t>A1004</t>
  </si>
  <si>
    <t>A1005</t>
  </si>
  <si>
    <t>片</t>
  </si>
  <si>
    <t>A1006</t>
  </si>
  <si>
    <t>A1007</t>
  </si>
  <si>
    <t>张小化</t>
  </si>
  <si>
    <t>张小二</t>
  </si>
  <si>
    <t>张小二</t>
    <phoneticPr fontId="1" type="noConversion"/>
  </si>
  <si>
    <t>|A1001|BPS|3G|冰硼散|3g</t>
  </si>
  <si>
    <t>|A1002|HMSRG|10G|红霉素软膏|10g</t>
  </si>
  <si>
    <t>|A1003|HMSYG|2G|红霉素眼膏|2g</t>
  </si>
  <si>
    <t>|A1005|FFHLS|100P|复方黄连素|100片</t>
  </si>
  <si>
    <t>|A1006|LHQWJN|24L|连花清瘟胶囊|24粒</t>
  </si>
  <si>
    <t>|A1007|MYLSXZCG|6Z|马应龙麝香痔疮膏|6支</t>
  </si>
  <si>
    <t>麝香痔疮栓</t>
  </si>
  <si>
    <t xml:space="preserve"> 12粒</t>
  </si>
  <si>
    <t>连花清瘟颗粒</t>
  </si>
  <si>
    <t>10袋</t>
  </si>
  <si>
    <t>呋麻滴鼻液</t>
  </si>
  <si>
    <t>10ml</t>
  </si>
  <si>
    <t>999胃泰胶囊</t>
  </si>
  <si>
    <t>依巴斯汀片</t>
  </si>
  <si>
    <t>7片</t>
  </si>
  <si>
    <t>多潘立酮片</t>
  </si>
  <si>
    <t>30片</t>
  </si>
  <si>
    <t>蒙脱石散</t>
  </si>
  <si>
    <t>12袋</t>
  </si>
  <si>
    <t>阿莫西林克拉维酸钾片</t>
  </si>
  <si>
    <t>6片</t>
  </si>
  <si>
    <t>左氧氟沙星片</t>
  </si>
  <si>
    <t>布洛芬缓释胶囊</t>
  </si>
  <si>
    <t>12粒</t>
  </si>
  <si>
    <t>罗红霉素胶囊</t>
  </si>
  <si>
    <t>咳特灵片</t>
  </si>
  <si>
    <t>甲硝唑芬布芬胶囊</t>
  </si>
  <si>
    <t>10粒</t>
  </si>
  <si>
    <t>双氯芬酸钠缓释片</t>
  </si>
  <si>
    <t>鼻炎康片</t>
  </si>
  <si>
    <t>96片</t>
  </si>
  <si>
    <t>阿昔洛韦乳膏</t>
  </si>
  <si>
    <t>氯雷他定片</t>
  </si>
  <si>
    <t>利巴韦林滴眼液</t>
  </si>
  <si>
    <t>复方酮康唑乳膏</t>
  </si>
  <si>
    <t>15g</t>
  </si>
  <si>
    <t>复方醋酸地塞米松乳膏</t>
  </si>
  <si>
    <t>复方倍氯米松樟脑乳膏</t>
  </si>
  <si>
    <t>醋酸曲安奈德益康唑乳膏</t>
  </si>
  <si>
    <t xml:space="preserve"> 红花油</t>
  </si>
  <si>
    <t>20ml</t>
  </si>
  <si>
    <t>清凉油</t>
  </si>
  <si>
    <t>个</t>
  </si>
  <si>
    <t>高山红景天口服液</t>
  </si>
  <si>
    <t>10支</t>
  </si>
  <si>
    <t>风油精</t>
  </si>
  <si>
    <t>3ml</t>
  </si>
  <si>
    <t>肠炎宁颗粒</t>
  </si>
  <si>
    <t>袋</t>
  </si>
  <si>
    <t>注射用奥美拉唑纳</t>
  </si>
  <si>
    <t>关节止痛膏</t>
  </si>
  <si>
    <t>季德胜蛇药片</t>
  </si>
  <si>
    <t>金嗓子喉片</t>
  </si>
  <si>
    <t>6片*2板</t>
  </si>
  <si>
    <t>炉甘石洗剂</t>
  </si>
  <si>
    <t>100ml</t>
  </si>
  <si>
    <t>安神补脑液</t>
  </si>
  <si>
    <t>10ml*12支</t>
  </si>
  <si>
    <t>创口贴</t>
  </si>
  <si>
    <t>藿香正气口服液</t>
  </si>
  <si>
    <t>健胃消食片</t>
  </si>
  <si>
    <t>36片</t>
  </si>
  <si>
    <t>牛黄解毒片</t>
  </si>
  <si>
    <t>奥美拉唑肠溶胶囊</t>
  </si>
  <si>
    <t>28粒</t>
  </si>
  <si>
    <t>盐酸小檗碱</t>
  </si>
  <si>
    <t>风热感冒颗粒</t>
  </si>
  <si>
    <t>复方感冒灵颗粒</t>
  </si>
  <si>
    <t>云南白药气雾剂</t>
  </si>
  <si>
    <t>110g</t>
  </si>
  <si>
    <t>急支糖浆</t>
  </si>
  <si>
    <t>200ml</t>
  </si>
  <si>
    <t>麝香壮骨膏</t>
  </si>
  <si>
    <t>10贴</t>
  </si>
  <si>
    <t>维生素C片</t>
  </si>
  <si>
    <t>醋酸地塞米松片</t>
  </si>
  <si>
    <t>马来酸氯苯那敏</t>
  </si>
  <si>
    <t>24片</t>
  </si>
  <si>
    <t>磷酸奥司他韦颗粒</t>
  </si>
  <si>
    <t>夏桑菊颗粒</t>
  </si>
  <si>
    <t>20袋</t>
  </si>
  <si>
    <t>云南白药膏</t>
  </si>
  <si>
    <t>伤湿止痛膏</t>
  </si>
  <si>
    <t>复方酮康唑发用洗剂</t>
  </si>
  <si>
    <t>50ml</t>
  </si>
  <si>
    <t>湿润烧伤膏</t>
  </si>
  <si>
    <t>60g</t>
  </si>
  <si>
    <t>复方甘草片</t>
  </si>
  <si>
    <t>颠茄片</t>
  </si>
  <si>
    <t>100粒</t>
  </si>
  <si>
    <t>罗通定片</t>
  </si>
  <si>
    <t>兰索拉唑肠溶胶囊</t>
  </si>
  <si>
    <t>30mg</t>
  </si>
  <si>
    <t>头孢呋辛酯片</t>
  </si>
  <si>
    <t>6粒</t>
  </si>
  <si>
    <t>麻仁润肠丸</t>
  </si>
  <si>
    <t>头孢克圬分散片</t>
  </si>
  <si>
    <t>8粒</t>
  </si>
  <si>
    <t>阿昔洛韦滴眼液</t>
  </si>
  <si>
    <t>8ml</t>
  </si>
  <si>
    <t>苯溴马隆片</t>
  </si>
  <si>
    <t>碳酸氢钠片</t>
  </si>
  <si>
    <t>口服补液盐散</t>
  </si>
  <si>
    <t>妥布霉素地塞米松滴眼液</t>
  </si>
  <si>
    <t>5ml</t>
  </si>
  <si>
    <t>塞来昔布胶囊</t>
  </si>
  <si>
    <t>复方板蓝根颗粒</t>
  </si>
  <si>
    <t>包</t>
  </si>
  <si>
    <t>维C银翘片</t>
  </si>
  <si>
    <t>30粒</t>
  </si>
  <si>
    <t>诺氟沙星胶囊</t>
  </si>
  <si>
    <t>强力枇杷露</t>
  </si>
  <si>
    <t>通宣理肺颗粒</t>
  </si>
  <si>
    <t>人工牛黄甲硝唑胶囊</t>
  </si>
  <si>
    <t>咽炎含片</t>
  </si>
  <si>
    <t>硝酸咪康唑乳膏</t>
  </si>
  <si>
    <t>黄连上清片</t>
  </si>
  <si>
    <t>36粒</t>
  </si>
  <si>
    <t>维U颠茄铝镁片</t>
  </si>
  <si>
    <t>铝碳酸镁咀嚼片</t>
  </si>
  <si>
    <t>止咳祛痰颗粒</t>
  </si>
  <si>
    <t>秋水仙碱片</t>
  </si>
  <si>
    <t>20粒</t>
  </si>
  <si>
    <t>阿奇霉素胶囊</t>
  </si>
  <si>
    <t>双氯芬酸钠胶囊</t>
  </si>
  <si>
    <t>三七伤药片</t>
  </si>
  <si>
    <t>川百止痒洗剂</t>
  </si>
  <si>
    <t>川贝枇杷糖浆</t>
  </si>
  <si>
    <t>180ml</t>
  </si>
  <si>
    <t>蒲地蓝消炎片</t>
  </si>
  <si>
    <t>盐酸氨溴索口服液</t>
  </si>
  <si>
    <t>999胃泰颗粒</t>
  </si>
  <si>
    <t>色甘酸钠滴眼液</t>
  </si>
  <si>
    <t>冰硼含片</t>
  </si>
  <si>
    <t>孟鲁司特咀嚼片</t>
  </si>
  <si>
    <t>玻璃酸钠滴眼液</t>
  </si>
  <si>
    <t>复方感冒灵片</t>
  </si>
  <si>
    <t>金银花口服液</t>
  </si>
  <si>
    <t>聚维酮碘溶液</t>
  </si>
  <si>
    <t>布洛芬缓释混悬液</t>
  </si>
  <si>
    <t>60ml</t>
  </si>
  <si>
    <t>维生素B12片</t>
  </si>
  <si>
    <t>维生素E软胶囊</t>
  </si>
  <si>
    <t>复合维生素B片</t>
  </si>
  <si>
    <t>碳酸钙D3咀嚼片</t>
  </si>
  <si>
    <t>外用溃疡散</t>
  </si>
  <si>
    <t>4支</t>
  </si>
  <si>
    <t>盐酸左氧氟沙星滴耳液</t>
  </si>
  <si>
    <t>多维元素片</t>
  </si>
  <si>
    <t>复方甘草口服液</t>
  </si>
  <si>
    <t>氨酚伪麻那敏片</t>
  </si>
  <si>
    <t>珍珠明目滴眼液</t>
  </si>
  <si>
    <t>复方氯已定含漱液</t>
  </si>
  <si>
    <t>300ml</t>
  </si>
  <si>
    <t>对乙酰氨基酚缓释片</t>
  </si>
  <si>
    <t>16片</t>
  </si>
  <si>
    <t>氢溴酸右美沙芬片</t>
  </si>
  <si>
    <t>双黄连口服液</t>
  </si>
  <si>
    <t>复方氨酚烷胺片</t>
  </si>
  <si>
    <t>醋酸曲安奈德尿素软膏</t>
  </si>
  <si>
    <t>鼻炎灵颗粒</t>
  </si>
  <si>
    <t>72片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</si>
  <si>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</si>
  <si>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</si>
  <si>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</si>
  <si>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</si>
  <si>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</si>
  <si>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</si>
  <si>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</si>
  <si>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</si>
  <si>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</si>
  <si>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</si>
  <si>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</si>
  <si>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</si>
  <si>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</si>
  <si>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</si>
  <si>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</si>
  <si>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</si>
  <si>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</si>
  <si>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</si>
  <si>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</si>
  <si>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</si>
  <si>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</si>
  <si>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</si>
  <si>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</si>
  <si>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</si>
  <si>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</si>
  <si>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</si>
  <si>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</si>
  <si>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</si>
  <si>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</si>
  <si>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</si>
  <si>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</si>
  <si>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</si>
  <si>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</si>
  <si>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</si>
  <si>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</si>
  <si>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</si>
  <si>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</si>
  <si>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</si>
  <si>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</si>
  <si>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</si>
  <si>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</si>
  <si>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</si>
  <si>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</si>
  <si>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</si>
  <si>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</si>
  <si>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</si>
  <si>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</si>
  <si>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</si>
  <si>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</si>
  <si>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</si>
  <si>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</si>
  <si>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</si>
  <si>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</si>
  <si>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</si>
  <si>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</si>
  <si>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</si>
  <si>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</si>
  <si>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</si>
  <si>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</si>
  <si>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</si>
  <si>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</si>
  <si>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</si>
  <si>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</si>
  <si>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</si>
  <si>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</si>
  <si>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</si>
  <si>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</si>
  <si>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</si>
  <si>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</si>
  <si>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</si>
  <si>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</si>
  <si>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</si>
  <si>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</si>
  <si>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</si>
  <si>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</si>
  <si>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</si>
  <si>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</si>
  <si>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</si>
  <si>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</si>
  <si>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</si>
  <si>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</si>
  <si>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</si>
  <si>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A1090</t>
  </si>
  <si>
    <t>A1091</t>
  </si>
  <si>
    <t>A1092</t>
  </si>
  <si>
    <t>A1093</t>
  </si>
  <si>
    <t>A1094</t>
  </si>
  <si>
    <t>A1095</t>
  </si>
  <si>
    <t>A1096</t>
  </si>
  <si>
    <t>A1097</t>
  </si>
  <si>
    <t>A1098</t>
  </si>
  <si>
    <t>A1099</t>
  </si>
  <si>
    <t>A1100</t>
  </si>
  <si>
    <t>A1101</t>
  </si>
  <si>
    <t>A1102</t>
  </si>
  <si>
    <t>A1103</t>
  </si>
  <si>
    <t>A1104</t>
  </si>
  <si>
    <t>A1105</t>
  </si>
  <si>
    <t>A1106</t>
  </si>
  <si>
    <t>A1107</t>
  </si>
  <si>
    <t>A1108</t>
  </si>
  <si>
    <t>A1109</t>
  </si>
  <si>
    <t>A1110</t>
  </si>
  <si>
    <t>A1111</t>
  </si>
  <si>
    <t>A1112</t>
  </si>
  <si>
    <t>A1113</t>
  </si>
  <si>
    <t>A1114</t>
  </si>
  <si>
    <t>A1115</t>
  </si>
  <si>
    <t>A1116</t>
  </si>
  <si>
    <t>A1117</t>
  </si>
  <si>
    <t>A1118</t>
  </si>
  <si>
    <t>A1119</t>
  </si>
  <si>
    <t>A1120</t>
  </si>
  <si>
    <t>|A1008|SXZCS| 12L|麝香痔疮栓| 12粒</t>
  </si>
  <si>
    <t>|A1009|LHQWKL|10D|连花清瘟颗粒|10袋</t>
  </si>
  <si>
    <t>|A1010|FMDBY|10ML|呋麻滴鼻液|10ml</t>
  </si>
  <si>
    <t>|A1011|999WTJN|24L|999胃泰胶囊|24粒</t>
  </si>
  <si>
    <t>|A1012|YASTP|7P|依巴斯汀片|7片</t>
  </si>
  <si>
    <t>|A1013|DPLTP|30P|多潘立酮片|30片</t>
  </si>
  <si>
    <t>|A1020|JXZFBFJN|10L|甲硝唑芬布芬胶囊|10粒</t>
  </si>
  <si>
    <t>|A1022|BYKP|96P|鼻炎康片|96片</t>
  </si>
  <si>
    <t>|A1023|XLWRG|10G|阿昔洛韦乳膏|10g</t>
  </si>
  <si>
    <t>|A1026|FFTKZRG|15G|复方酮康唑乳膏|15g</t>
  </si>
  <si>
    <t>|A1027|FFCSDSMSRG|10G|复方醋酸地塞米松乳膏|10g</t>
  </si>
  <si>
    <t>|A1028|FFBLMSZNRG|15G|复方倍氯米松樟脑乳膏|15g</t>
  </si>
  <si>
    <t>|A1029|CSQANDYKZRG|15G|醋酸曲安奈德益康唑乳膏|15g</t>
  </si>
  <si>
    <t>|A1031| HHY|20ML| 红花油|20ml</t>
  </si>
  <si>
    <t>|A1032|QLY|3G|清凉油|3g</t>
  </si>
  <si>
    <t>|A1033|GSHJTKFY|10Z|高山红景天口服液|10支</t>
  </si>
  <si>
    <t>|A1034|FYJ|3ML|风油精|3ml</t>
  </si>
  <si>
    <t>|A1039|JSZHP|6P*2B|金嗓子喉片|6片*2板</t>
  </si>
  <si>
    <t>|A1040|LGSXJ|100ML|炉甘石洗剂|100ml</t>
  </si>
  <si>
    <t>|A1041|ASBNY|10ML*12Z|安神补脑液|10ml*12支</t>
  </si>
  <si>
    <t>|A1042|CKT|100P|创口贴|100片</t>
  </si>
  <si>
    <t>|A1044|JWXSP|36P|健胃消食片|36片</t>
  </si>
  <si>
    <t>|A1046|AMLZCRJN|28L|奥美拉唑肠溶胶囊|28粒</t>
  </si>
  <si>
    <t>|A1047|YSXBJ|100P|盐酸小檗碱|100片</t>
  </si>
  <si>
    <t>|A1048|FRGMKL|10D|风热感冒颗粒|10袋</t>
  </si>
  <si>
    <t>|A1050|YNBYQWJ|110G|云南白药气雾剂|110g</t>
  </si>
  <si>
    <t>|A1051|JZTJ|200ML|急支糖浆|200ml</t>
  </si>
  <si>
    <t>|A1052|SXZGG|10T|麝香壮骨膏|10贴</t>
  </si>
  <si>
    <t>|A1053|WSSCP|100P|维生素C片|100片</t>
  </si>
  <si>
    <t>|A1054|CSDSMSP|100P|醋酸地塞米松片|100片</t>
  </si>
  <si>
    <t>|A1055|MLSLBNM|24P|马来酸氯苯那敏|24片</t>
  </si>
  <si>
    <t>|A1056|LSASSWKL|10D|磷酸奥司他韦颗粒|10袋</t>
  </si>
  <si>
    <t>|A1057|XSJKL|20D|夏桑菊颗粒|20袋</t>
  </si>
  <si>
    <t>|A1058|YNBYG|10T|云南白药膏|10贴</t>
  </si>
  <si>
    <t>|A1059|SSZTG|10T|伤湿止痛膏|10贴</t>
  </si>
  <si>
    <t>|A1060|FFTKZFYXJ|50ML|复方酮康唑发用洗剂|50ml</t>
  </si>
  <si>
    <t>|A1061|SRSSG|60G|湿润烧伤膏|60g</t>
  </si>
  <si>
    <t>|A1062|FFGCP|100P|复方甘草片|100片</t>
  </si>
  <si>
    <t>|A1063|DQP|100L|颠茄片|100粒</t>
  </si>
  <si>
    <t>|A1064|LTDP|100P|罗通定片|100片</t>
  </si>
  <si>
    <t>|A1065|LSLZCRJN|30MG|兰索拉唑肠溶胶囊|30mg</t>
  </si>
  <si>
    <t>|A1066|TBFXZP|6L|头孢呋辛酯片|6粒</t>
  </si>
  <si>
    <t>|A1068|TBKWFSP|8L|头孢克圬分散片|8粒</t>
  </si>
  <si>
    <t>|A1069|XLWDYY|8ML|阿昔洛韦滴眼液|8ml</t>
  </si>
  <si>
    <t>|A1070|BXMLP|H|苯溴马隆片|盒</t>
  </si>
  <si>
    <t>|A1071|TSQNP|100P|碳酸氢钠片|100片</t>
  </si>
  <si>
    <t>|A1073|TBMSDSMSDYY|5ML|妥布霉素地塞米松滴眼液|5ml</t>
  </si>
  <si>
    <t>|A1074|SLXBJN|6L|塞来昔布胶囊|6粒</t>
  </si>
  <si>
    <t>|A1075|FFBLGKL|20D|复方板蓝根颗粒|20袋</t>
  </si>
  <si>
    <t>|A1076|WCYQP|30L|维C银翘片|30粒</t>
  </si>
  <si>
    <t>|A1077|NFSXJN|24L|诺氟沙星胶囊|24粒</t>
  </si>
  <si>
    <t>|A1078|QLPPL|100ML|强力枇杷露|100ml</t>
  </si>
  <si>
    <t>|A1079|TXLFKL|12D|通宣理肺颗粒|12袋</t>
  </si>
  <si>
    <t>|A1080|RGNHJXZJN|24L|人工牛黄甲硝唑胶囊|24粒</t>
  </si>
  <si>
    <t>|A1081|YYHP|24L|咽炎含片|24粒</t>
  </si>
  <si>
    <t>|A1082|XSMKZRG|20G|硝酸咪康唑乳膏|20g</t>
  </si>
  <si>
    <t>|A1083|HLSQP|36L|黄连上清片|36粒</t>
  </si>
  <si>
    <t>|A1084|WUDQLMP|24L|维U颠茄铝镁片|24粒</t>
  </si>
  <si>
    <t>|A1085|LTSMJJP|H|铝碳酸镁咀嚼片|盒</t>
  </si>
  <si>
    <t>|A1086|ZKQTKL|10D|止咳祛痰颗粒|10袋</t>
  </si>
  <si>
    <t>|A1087|QSXJP|20L|秋水仙碱片|20粒</t>
  </si>
  <si>
    <t>|A1088|QMSJN|10L|阿奇霉素胶囊|10粒</t>
  </si>
  <si>
    <t>|A1089|SLFSNJN|10L|双氯芬酸钠胶囊|10粒</t>
  </si>
  <si>
    <t>|A1090|SPSYP|36P|三七伤药片|36片</t>
  </si>
  <si>
    <t>|A1091|CBZYXJ|50ML|川百止痒洗剂|50ml</t>
  </si>
  <si>
    <t>|A1092|CBPPTJ|180ML|川贝枇杷糖浆|180ml</t>
  </si>
  <si>
    <t>|A1094|YSAXSKFY|100ML|盐酸氨溴索口服液|100ml</t>
  </si>
  <si>
    <t>|A1095|999WTKL|10D|999胃泰颗粒|10袋</t>
  </si>
  <si>
    <t>|A1096|SGSNDYY|8ML|色甘酸钠滴眼液|8ml</t>
  </si>
  <si>
    <t>|A1097|BPHP|24P|冰硼含片|24片</t>
  </si>
  <si>
    <t>|A1099|BLSNDYY|5ML|玻璃酸钠滴眼液|5ml</t>
  </si>
  <si>
    <t>|A1100|FFGMLP|100P|复方感冒灵片|100片</t>
  </si>
  <si>
    <t>|A1101|JYHKFY|6Z|金银花口服液|6支</t>
  </si>
  <si>
    <t>|A1102|JWTDRY|100ML|聚维酮碘溶液|100ml</t>
  </si>
  <si>
    <t>|A1103|BLFHSHXY|60ML|布洛芬缓释混悬液|60ml</t>
  </si>
  <si>
    <t>|A1105|WSSERJN|30L|维生素E软胶囊|30粒</t>
  </si>
  <si>
    <t>|A1106|FHWSSBP|100P|复合维生素B片|100片</t>
  </si>
  <si>
    <t>|A1108|WYKYS|4Z|外用溃疡散|4支</t>
  </si>
  <si>
    <t>|A1109|YSZYFSXDEY|5ML|盐酸左氧氟沙星滴耳液|5ml</t>
  </si>
  <si>
    <t>|A1111|FFGCKFY|10Z|复方甘草口服液|10支</t>
  </si>
  <si>
    <t>|A1112|AFWMNMP|6L|氨酚伪麻那敏片|6粒</t>
  </si>
  <si>
    <t>|A1113|ZZMMDYY|8ML|珍珠明目滴眼液|8ml</t>
  </si>
  <si>
    <t>|A1114|FFLYDHSY|300ML|复方氯已定含漱液|300ml</t>
  </si>
  <si>
    <t>|A1115|DYXAJFHSP|16P|对乙酰氨基酚缓释片|16片</t>
  </si>
  <si>
    <t>|A1117|SHLKFY|10Z|双黄连口服液|10支</t>
  </si>
  <si>
    <t>|A1118|FFAFWAP|24L|复方氨酚烷胺片|24粒</t>
  </si>
  <si>
    <t>|A1119|CSQANDNSRG|10ML|醋酸曲安奈德尿素软膏|10ml</t>
  </si>
  <si>
    <t>|A1120|BYLKL|72P|鼻炎灵颗粒|72片</t>
  </si>
  <si>
    <t>UID</t>
  </si>
  <si>
    <t>品名</t>
  </si>
  <si>
    <t>规格</t>
  </si>
  <si>
    <t>规格单位</t>
  </si>
  <si>
    <t>规格/最小粒度单位</t>
  </si>
  <si>
    <t>最小粒度单位</t>
  </si>
  <si>
    <t>库存(最小粒度单位)</t>
  </si>
  <si>
    <t>双氯芬酸二乙胺乳胶剂（扶他林）</t>
  </si>
  <si>
    <t>12包</t>
  </si>
  <si>
    <t>14片</t>
  </si>
  <si>
    <t>14粒</t>
  </si>
  <si>
    <t>丁酸氢化可的松乳膏（醋酸）</t>
  </si>
  <si>
    <t>3袋</t>
  </si>
  <si>
    <t>40ml</t>
  </si>
  <si>
    <t>10片</t>
  </si>
  <si>
    <t>贴</t>
  </si>
  <si>
    <t>12片*2板</t>
  </si>
  <si>
    <t>板</t>
  </si>
  <si>
    <t>30袋</t>
  </si>
  <si>
    <t>11袋</t>
  </si>
  <si>
    <t>4袋</t>
  </si>
  <si>
    <t>5粒</t>
  </si>
  <si>
    <t>A1121</t>
  </si>
  <si>
    <t>磷酸奥司他韦胶囊</t>
  </si>
  <si>
    <t>A1122</t>
  </si>
  <si>
    <t>地奥司明片</t>
  </si>
  <si>
    <t>A1123</t>
  </si>
  <si>
    <t>西地碘含片</t>
  </si>
  <si>
    <t>25片</t>
  </si>
  <si>
    <t>A1124</t>
  </si>
  <si>
    <t>盐酸氨基酸葡萄糖胶囊</t>
  </si>
  <si>
    <t>|A1004|SLFSEYARJJFSL|20G|双氯芬酸二乙胺乳胶剂（扶他林）|20g</t>
  </si>
  <si>
    <t>|A1014|MTSS|12B|蒙脱石散|12包</t>
  </si>
  <si>
    <t>|A1015|MWLKLWSJP|6L|阿莫西林克拉维酸钾片|6粒</t>
  </si>
  <si>
    <t>|A1016|ZYFSXP|14P|左氧氟沙星片|14片</t>
  </si>
  <si>
    <t>|A1017|BLFHSJN|14L|布洛芬缓释胶囊|14粒</t>
  </si>
  <si>
    <t>|A1018|LHMSJN|L|罗红霉素胶囊|粒</t>
  </si>
  <si>
    <t>|A1019|KTLP|100|咳特灵片|100</t>
  </si>
  <si>
    <t>|A1021|SLFSNHSP|12L|双氯芬酸钠缓释片|12粒</t>
  </si>
  <si>
    <t>|A1024|LLSDP|6P|氯雷他定片|6片</t>
  </si>
  <si>
    <t>|A1025|LAWLDYY|8ML|利巴韦林滴眼液|8ml</t>
  </si>
  <si>
    <t>|A1030|DSQHKDSRGCS|10G|丁酸氢化可的松乳膏（醋酸）|10g</t>
  </si>
  <si>
    <t>|A1035|CYNKL|3D|肠炎宁颗粒|3袋</t>
  </si>
  <si>
    <t>|A1036|ZSYAMLZN|40ML|注射用奥美拉唑纳|40ml</t>
  </si>
  <si>
    <t>|A1037|GJZTG|10P|关节止痛膏|10片</t>
  </si>
  <si>
    <t>|A1038|JDSSYP|12P*2B|季德胜蛇药片|12片*2板</t>
  </si>
  <si>
    <t>|A1043|HXZQKFY|Z|藿香正气口服液|支</t>
  </si>
  <si>
    <t>|A1045|NHJDP|30D|牛黄解毒片|30袋</t>
  </si>
  <si>
    <t>|A1049|FFGMLKL|11D|复方感冒灵颗粒|11袋</t>
  </si>
  <si>
    <t>|A1067|MRRCW|6L|麻仁润肠丸|6粒</t>
  </si>
  <si>
    <t>|A1072|KFBYYS|4D|口服补液盐散|4袋</t>
  </si>
  <si>
    <t>|A1093|PDLXYP|36L|蒲地蓝消炎片|36粒</t>
  </si>
  <si>
    <t>|A1098|MLSTJJP|5L|孟鲁司特咀嚼片|5粒</t>
  </si>
  <si>
    <t>|A1104|WSSB12P|L|维生素B12片|粒</t>
  </si>
  <si>
    <t>|A1107|TSGD3JJP|36P|碳酸钙D3咀嚼片|36片</t>
  </si>
  <si>
    <t>|A1110|DWYSP|100P|多维元素片|100片</t>
  </si>
  <si>
    <t>|A1116|QXSYMSFP|24P|氢溴酸右美沙芬片|24片</t>
  </si>
  <si>
    <t>|A1121|LSASSWJN|10L|磷酸奥司他韦胶囊|10粒</t>
  </si>
  <si>
    <t>|A1122|DASMP|24P|地奥司明片|24片</t>
  </si>
  <si>
    <t>|A1123|WDDHP|25P|西地碘含片|25片</t>
  </si>
  <si>
    <t>|A1124|YSAJSPTTJN|30L|盐酸氨基酸葡萄糖胶囊|30粒</t>
  </si>
  <si>
    <t>布洛芬缓释混悬液-6</t>
  </si>
  <si>
    <t>妥布霉素地塞米松滴眼液-6</t>
  </si>
  <si>
    <t>复方酮康唑发用洗剂-6</t>
  </si>
  <si>
    <t>A1076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</si>
</sst>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800]dddd\,\ mmmm\ dd\,\ yyyy"/>
  </numFmts>
  <fonts count="1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8"/>
      <color theme="1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4"/>
      <color rgb="FF00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b/>
      <sz val="16"/>
      <color rgb="FF008000"/>
      <name val="微软雅黑"/>
      <family val="2"/>
      <charset val="134"/>
    </font>
    <font>
      <sz val="14"/>
      <color rgb="FF008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176" fontId="5" fillId="0" borderId="7" xfId="0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176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Fill="1" applyBorder="1" applyAlignment="1">
      <alignment horizontal="center" vertical="center"/>
    </xf>
    <xf numFmtId="0" fontId="4" fillId="0" borderId="13" xfId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7" xfId="0" applyFont="1" applyFill="1" applyBorder="1" applyAlignment="1">
      <alignment horizontal="right" vertical="center"/>
    </xf>
    <xf numFmtId="0" fontId="5" fillId="0" borderId="0" xfId="0" applyFont="1" applyFill="1" applyAlignment="1">
      <alignment horizontal="right" vertical="center"/>
    </xf>
    <xf numFmtId="0" fontId="0" fillId="3" borderId="0" xfId="0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0" borderId="5" xfId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375398</xdr:colOff>
      <xdr:row>0</xdr:row>
      <xdr:rowOff>0</xdr:rowOff>
    </xdr:from>
    <xdr:to>
      <xdr:col>26</xdr:col>
      <xdr:colOff>266700</xdr:colOff>
      <xdr:row>1</xdr:row>
      <xdr:rowOff>180414</xdr:rowOff>
    </xdr:to>
    <xdr:sp macro="" textlink="">
      <xdr:nvSpPr>
        <xdr:cNvPr id="2" name="矩形 1"/>
        <xdr:cNvSpPr/>
      </xdr:nvSpPr>
      <xdr:spPr>
        <a:xfrm>
          <a:off x="14548598" y="0"/>
          <a:ext cx="3796552" cy="6757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说明：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、点击“批量生成药品工作表和超链接”按钮</a:t>
          </a:r>
          <a:endParaRPr lang="en-US" altLang="zh-CN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、点击”就诊“</a:t>
          </a:r>
          <a:r>
            <a:rPr lang="en-US" altLang="zh-CN" sz="1100"/>
            <a:t>sheet</a:t>
          </a:r>
          <a:r>
            <a:rPr lang="zh-CN" altLang="en-US" sz="1100"/>
            <a:t>的同步处置数据到各药品表 按钮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57150</xdr:rowOff>
        </xdr:from>
        <xdr:to>
          <xdr:col>13</xdr:col>
          <xdr:colOff>76200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批量生成药品工作表和超链接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38100</xdr:rowOff>
        </xdr:from>
        <xdr:to>
          <xdr:col>7</xdr:col>
          <xdr:colOff>1990725</xdr:colOff>
          <xdr:row>0</xdr:row>
          <xdr:rowOff>438150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更新搜索码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28575</xdr:rowOff>
        </xdr:from>
        <xdr:to>
          <xdr:col>4</xdr:col>
          <xdr:colOff>885825</xdr:colOff>
          <xdr:row>0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0000"/>
                  </a:solidFill>
                  <a:latin typeface="微软雅黑"/>
                  <a:ea typeface="微软雅黑"/>
                </a:rPr>
                <a:t>就诊登记表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6</xdr:col>
          <xdr:colOff>161925</xdr:colOff>
          <xdr:row>7</xdr:row>
          <xdr:rowOff>76200</xdr:rowOff>
        </xdr:to>
        <xdr:sp macro="" textlink="">
          <xdr:nvSpPr>
            <xdr:cNvPr id="1029" name="Lis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38100</xdr:rowOff>
        </xdr:from>
        <xdr:to>
          <xdr:col>2</xdr:col>
          <xdr:colOff>1066800</xdr:colOff>
          <xdr:row>0</xdr:row>
          <xdr:rowOff>438150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8000"/>
                  </a:solidFill>
                  <a:latin typeface="微软雅黑"/>
                  <a:ea typeface="微软雅黑"/>
                </a:rPr>
                <a:t>搜索药品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47625</xdr:rowOff>
        </xdr:from>
        <xdr:to>
          <xdr:col>2</xdr:col>
          <xdr:colOff>228600</xdr:colOff>
          <xdr:row>0</xdr:row>
          <xdr:rowOff>438150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同步处置数据到各药品表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2073" name="TextBox1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14</xdr:col>
          <xdr:colOff>0</xdr:colOff>
          <xdr:row>6</xdr:row>
          <xdr:rowOff>200025</xdr:rowOff>
        </xdr:to>
        <xdr:sp macro="" textlink="">
          <xdr:nvSpPr>
            <xdr:cNvPr id="2075" name="ListBox1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76" name="TextBox2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38100</xdr:rowOff>
        </xdr:from>
        <xdr:to>
          <xdr:col>6</xdr:col>
          <xdr:colOff>600075</xdr:colOff>
          <xdr:row>0</xdr:row>
          <xdr:rowOff>438150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8000"/>
                  </a:solidFill>
                  <a:latin typeface="微软雅黑"/>
                  <a:ea typeface="微软雅黑"/>
                </a:rPr>
                <a:t>药品目录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">
    <tabColor rgb="FFFF0000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/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/>
      <c r="O2" s="31"/>
      <c r="P2" s="31"/>
      <c r="Q2" s="31"/>
      <c r="R2" s="31"/>
      <c r="S2" s="32"/>
      <c r="T2" s="33" t="s">
        <v>35</v>
      </c>
      <c r="U2" s="37"/>
      <c r="V2" s="30"/>
      <c r="W2" s="31"/>
      <c r="X2" s="31"/>
      <c r="Y2" s="31"/>
      <c r="Z2" s="32"/>
      <c r="AA2" s="33" t="s">
        <v>37</v>
      </c>
      <c r="AB2" s="34"/>
      <c r="AC2" s="38"/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F1:AF1"/>
    <mergeCell ref="A1:E1"/>
    <mergeCell ref="V2:Z2"/>
    <mergeCell ref="AA2:AB2"/>
    <mergeCell ref="A2:B2"/>
    <mergeCell ref="C2:K2"/>
    <mergeCell ref="L2:M2"/>
    <mergeCell ref="N2:S2"/>
    <mergeCell ref="T2:U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talog1">
    <tabColor rgb="FFFFFF00"/>
  </sheetPr>
  <dimension ref="A1:I126"/>
  <sheetViews>
    <sheetView tabSelected="1" zoomScaleNormal="100" workbookViewId="0">
      <selection activeCell="E14" sqref="E14"/>
    </sheetView>
  </sheetViews>
  <sheetFormatPr defaultRowHeight="26.45" customHeight="1" x14ac:dyDescent="0.15"/>
  <cols>
    <col min="1" max="1" width="7.875" style="8" customWidth="1"/>
    <col min="2" max="2" width="26.375" style="8" customWidth="1"/>
    <col min="3" max="3" width="14.875" style="8" bestFit="1" customWidth="1"/>
    <col min="4" max="4" width="9.75" style="8" bestFit="1" customWidth="1"/>
    <col min="5" max="5" width="15.25" style="8" customWidth="1"/>
    <col min="6" max="6" width="10.75" style="8" customWidth="1"/>
    <col min="7" max="7" width="11.625" style="8" customWidth="1"/>
    <col min="8" max="8" width="46.5" customWidth="1"/>
    <col min="9" max="9" width="12.625" style="17" customWidth="1"/>
    <col min="10" max="31" width="5.125" style="17" customWidth="1"/>
    <col min="32" max="16384" width="9" style="17"/>
  </cols>
  <sheetData>
    <row r="1" spans="1:9" ht="39" customHeight="1" x14ac:dyDescent="0.15">
      <c r="B1" s="23" t="s">
        <v>495</v>
      </c>
    </row>
    <row r="2" spans="1:9" ht="26.45" customHeight="1" x14ac:dyDescent="0.15">
      <c r="A2" s="24" t="s">
        <v>431</v>
      </c>
      <c r="B2" s="25" t="s">
        <v>432</v>
      </c>
      <c r="C2" s="24" t="s">
        <v>433</v>
      </c>
      <c r="D2" s="24" t="s">
        <v>434</v>
      </c>
      <c r="E2" s="24" t="s">
        <v>435</v>
      </c>
      <c r="F2" s="24" t="s">
        <v>436</v>
      </c>
      <c r="G2" s="24" t="s">
        <v>437</v>
      </c>
    </row>
    <row r="3" spans="1:9" ht="26.45" customHeight="1" x14ac:dyDescent="0.15">
      <c r="A3" s="19" t="s">
        <v>56</v>
      </c>
      <c r="B3" s="19" t="s">
        <v>40</v>
      </c>
      <c r="C3" s="18" t="s">
        <v>41</v>
      </c>
      <c r="D3" s="18" t="s">
        <v>53</v>
      </c>
      <c r="E3" s="18">
        <v>1</v>
      </c>
      <c r="F3" s="18" t="s">
        <v>50</v>
      </c>
      <c r="G3" s="18">
        <v>20</v>
      </c>
      <c r="H3" t="s">
        <v>68</v>
      </c>
      <c r="I3" s="17" t="str">
        <f t="shared" ref="I3:I6" si="0">INT(G3/E3)&amp;D3&amp;MOD(G3,E3)&amp;F3</f>
        <v>20盒0瓶</v>
      </c>
    </row>
    <row r="4" spans="1:9" ht="26.45" customHeight="1" x14ac:dyDescent="0.15">
      <c r="A4" s="19" t="s">
        <v>58</v>
      </c>
      <c r="B4" s="19" t="s">
        <v>43</v>
      </c>
      <c r="C4" s="18" t="s">
        <v>44</v>
      </c>
      <c r="D4" s="18" t="s">
        <v>42</v>
      </c>
      <c r="E4" s="18">
        <v>1</v>
      </c>
      <c r="F4" s="18" t="s">
        <v>42</v>
      </c>
      <c r="G4" s="18">
        <v>6</v>
      </c>
      <c r="H4" t="s">
        <v>69</v>
      </c>
      <c r="I4" s="17" t="str">
        <f t="shared" si="0"/>
        <v>6支0支</v>
      </c>
    </row>
    <row r="5" spans="1:9" ht="26.45" customHeight="1" x14ac:dyDescent="0.15">
      <c r="A5" s="19" t="s">
        <v>59</v>
      </c>
      <c r="B5" s="19" t="s">
        <v>45</v>
      </c>
      <c r="C5" s="18" t="s">
        <v>46</v>
      </c>
      <c r="D5" s="18" t="s">
        <v>42</v>
      </c>
      <c r="E5" s="18">
        <v>1</v>
      </c>
      <c r="F5" s="18" t="s">
        <v>42</v>
      </c>
      <c r="G5" s="18">
        <v>0</v>
      </c>
      <c r="H5" t="s">
        <v>70</v>
      </c>
      <c r="I5" s="17" t="str">
        <f t="shared" si="0"/>
        <v>0支0支</v>
      </c>
    </row>
    <row r="6" spans="1:9" ht="26.45" customHeight="1" x14ac:dyDescent="0.15">
      <c r="A6" s="19" t="s">
        <v>60</v>
      </c>
      <c r="B6" s="19" t="s">
        <v>438</v>
      </c>
      <c r="C6" s="18" t="s">
        <v>47</v>
      </c>
      <c r="D6" s="18" t="s">
        <v>42</v>
      </c>
      <c r="E6" s="18">
        <v>1</v>
      </c>
      <c r="F6" s="18" t="s">
        <v>53</v>
      </c>
      <c r="G6" s="18">
        <v>20</v>
      </c>
      <c r="H6" t="s">
        <v>462</v>
      </c>
      <c r="I6" s="17" t="str">
        <f t="shared" si="0"/>
        <v>20支0盒</v>
      </c>
    </row>
    <row r="7" spans="1:9" ht="26.45" customHeight="1" x14ac:dyDescent="0.15">
      <c r="A7" s="19" t="s">
        <v>61</v>
      </c>
      <c r="B7" s="19" t="s">
        <v>48</v>
      </c>
      <c r="C7" s="18" t="s">
        <v>49</v>
      </c>
      <c r="D7" s="18" t="s">
        <v>50</v>
      </c>
      <c r="E7" s="18">
        <v>100</v>
      </c>
      <c r="F7" s="18" t="s">
        <v>57</v>
      </c>
      <c r="G7" s="18">
        <v>4020</v>
      </c>
      <c r="H7" t="s">
        <v>71</v>
      </c>
      <c r="I7" s="17" t="str">
        <f>INT(G7/E7)&amp;D7&amp;MOD(G7,E7)&amp;F7</f>
        <v>40瓶20粒</v>
      </c>
    </row>
    <row r="8" spans="1:9" ht="26.45" customHeight="1" x14ac:dyDescent="0.15">
      <c r="A8" s="19" t="s">
        <v>63</v>
      </c>
      <c r="B8" s="19" t="s">
        <v>51</v>
      </c>
      <c r="C8" s="18" t="s">
        <v>52</v>
      </c>
      <c r="D8" s="18" t="s">
        <v>53</v>
      </c>
      <c r="E8" s="18">
        <v>24</v>
      </c>
      <c r="F8" s="18" t="s">
        <v>57</v>
      </c>
      <c r="G8" s="18">
        <v>86</v>
      </c>
      <c r="H8" t="s">
        <v>72</v>
      </c>
      <c r="I8" s="17" t="str">
        <f t="shared" ref="I8:I71" si="1">INT(G8/E8)&amp;D8&amp;MOD(G8,E8)&amp;F8</f>
        <v>3盒14粒</v>
      </c>
    </row>
    <row r="9" spans="1:9" ht="26.45" customHeight="1" x14ac:dyDescent="0.15">
      <c r="A9" s="19" t="s">
        <v>64</v>
      </c>
      <c r="B9" s="19" t="s">
        <v>54</v>
      </c>
      <c r="C9" s="18" t="s">
        <v>55</v>
      </c>
      <c r="D9" s="18" t="s">
        <v>53</v>
      </c>
      <c r="E9" s="18">
        <v>6</v>
      </c>
      <c r="F9" s="18" t="s">
        <v>42</v>
      </c>
      <c r="G9" s="18">
        <v>8</v>
      </c>
      <c r="H9" t="s">
        <v>73</v>
      </c>
      <c r="I9" s="17" t="str">
        <f t="shared" si="1"/>
        <v>1盒2支</v>
      </c>
    </row>
    <row r="10" spans="1:9" ht="26.45" customHeight="1" x14ac:dyDescent="0.15">
      <c r="A10" s="19" t="s">
        <v>230</v>
      </c>
      <c r="B10" s="19" t="s">
        <v>74</v>
      </c>
      <c r="C10" s="18" t="s">
        <v>75</v>
      </c>
      <c r="D10" s="18" t="s">
        <v>53</v>
      </c>
      <c r="E10" s="18">
        <v>12</v>
      </c>
      <c r="F10" s="18" t="s">
        <v>57</v>
      </c>
      <c r="G10" s="18">
        <v>4</v>
      </c>
      <c r="H10" t="s">
        <v>343</v>
      </c>
      <c r="I10" s="17" t="str">
        <f t="shared" si="1"/>
        <v>0盒4粒</v>
      </c>
    </row>
    <row r="11" spans="1:9" ht="26.45" customHeight="1" x14ac:dyDescent="0.15">
      <c r="A11" s="19" t="s">
        <v>231</v>
      </c>
      <c r="B11" s="19" t="s">
        <v>76</v>
      </c>
      <c r="C11" s="18" t="s">
        <v>77</v>
      </c>
      <c r="D11" s="18" t="s">
        <v>53</v>
      </c>
      <c r="E11" s="18">
        <v>10</v>
      </c>
      <c r="F11" s="18" t="s">
        <v>175</v>
      </c>
      <c r="G11" s="18">
        <v>2</v>
      </c>
      <c r="H11" t="s">
        <v>344</v>
      </c>
      <c r="I11" s="17" t="str">
        <f t="shared" si="1"/>
        <v>0盒2包</v>
      </c>
    </row>
    <row r="12" spans="1:9" ht="26.45" customHeight="1" x14ac:dyDescent="0.15">
      <c r="A12" s="19" t="s">
        <v>232</v>
      </c>
      <c r="B12" s="19" t="s">
        <v>78</v>
      </c>
      <c r="C12" s="18" t="s">
        <v>79</v>
      </c>
      <c r="D12" s="18" t="s">
        <v>53</v>
      </c>
      <c r="E12" s="18">
        <v>1</v>
      </c>
      <c r="F12" s="18" t="s">
        <v>50</v>
      </c>
      <c r="G12" s="18">
        <v>5</v>
      </c>
      <c r="H12" t="s">
        <v>345</v>
      </c>
      <c r="I12" s="17" t="str">
        <f t="shared" si="1"/>
        <v>5盒0瓶</v>
      </c>
    </row>
    <row r="13" spans="1:9" ht="26.45" customHeight="1" x14ac:dyDescent="0.15">
      <c r="A13" s="19" t="s">
        <v>233</v>
      </c>
      <c r="B13" s="19" t="s">
        <v>80</v>
      </c>
      <c r="C13" s="18" t="s">
        <v>52</v>
      </c>
      <c r="D13" s="18" t="s">
        <v>53</v>
      </c>
      <c r="E13" s="18">
        <v>24</v>
      </c>
      <c r="F13" s="18" t="s">
        <v>57</v>
      </c>
      <c r="G13" s="18">
        <v>0</v>
      </c>
      <c r="H13" t="s">
        <v>346</v>
      </c>
      <c r="I13" s="17" t="str">
        <f t="shared" si="1"/>
        <v>0盒0粒</v>
      </c>
    </row>
    <row r="14" spans="1:9" ht="26.45" customHeight="1" x14ac:dyDescent="0.15">
      <c r="A14" s="19" t="s">
        <v>234</v>
      </c>
      <c r="B14" s="19" t="s">
        <v>81</v>
      </c>
      <c r="C14" s="18" t="s">
        <v>82</v>
      </c>
      <c r="D14" s="18" t="s">
        <v>53</v>
      </c>
      <c r="E14" s="18">
        <v>7</v>
      </c>
      <c r="F14" s="18" t="s">
        <v>62</v>
      </c>
      <c r="G14" s="18">
        <v>0</v>
      </c>
      <c r="H14" t="s">
        <v>347</v>
      </c>
      <c r="I14" s="17" t="str">
        <f t="shared" si="1"/>
        <v>0盒0片</v>
      </c>
    </row>
    <row r="15" spans="1:9" ht="26.45" customHeight="1" x14ac:dyDescent="0.15">
      <c r="A15" s="19" t="s">
        <v>235</v>
      </c>
      <c r="B15" s="19" t="s">
        <v>83</v>
      </c>
      <c r="C15" s="18" t="s">
        <v>84</v>
      </c>
      <c r="D15" s="18" t="s">
        <v>53</v>
      </c>
      <c r="E15" s="18">
        <v>30</v>
      </c>
      <c r="F15" s="18" t="s">
        <v>62</v>
      </c>
      <c r="G15" s="18">
        <v>0</v>
      </c>
      <c r="H15" t="s">
        <v>348</v>
      </c>
      <c r="I15" s="17" t="str">
        <f t="shared" si="1"/>
        <v>0盒0片</v>
      </c>
    </row>
    <row r="16" spans="1:9" ht="26.45" customHeight="1" x14ac:dyDescent="0.15">
      <c r="A16" s="19" t="s">
        <v>236</v>
      </c>
      <c r="B16" s="19" t="s">
        <v>85</v>
      </c>
      <c r="C16" s="18" t="s">
        <v>439</v>
      </c>
      <c r="D16" s="18" t="s">
        <v>53</v>
      </c>
      <c r="E16" s="18">
        <v>12</v>
      </c>
      <c r="F16" s="18" t="s">
        <v>116</v>
      </c>
      <c r="G16" s="18">
        <v>0</v>
      </c>
      <c r="H16" t="s">
        <v>463</v>
      </c>
      <c r="I16" s="17" t="str">
        <f t="shared" si="1"/>
        <v>0盒0袋</v>
      </c>
    </row>
    <row r="17" spans="1:9" ht="26.45" customHeight="1" x14ac:dyDescent="0.15">
      <c r="A17" s="19" t="s">
        <v>237</v>
      </c>
      <c r="B17" s="19" t="s">
        <v>87</v>
      </c>
      <c r="C17" s="18" t="s">
        <v>162</v>
      </c>
      <c r="D17" s="18" t="s">
        <v>53</v>
      </c>
      <c r="E17" s="18">
        <v>6</v>
      </c>
      <c r="F17" s="18" t="s">
        <v>57</v>
      </c>
      <c r="G17" s="18">
        <v>30</v>
      </c>
      <c r="H17" t="s">
        <v>464</v>
      </c>
      <c r="I17" s="17" t="str">
        <f t="shared" si="1"/>
        <v>5盒0粒</v>
      </c>
    </row>
    <row r="18" spans="1:9" ht="26.45" customHeight="1" x14ac:dyDescent="0.15">
      <c r="A18" s="19" t="s">
        <v>238</v>
      </c>
      <c r="B18" s="19" t="s">
        <v>89</v>
      </c>
      <c r="C18" s="18" t="s">
        <v>440</v>
      </c>
      <c r="D18" s="18" t="s">
        <v>53</v>
      </c>
      <c r="E18" s="18">
        <v>14</v>
      </c>
      <c r="F18" s="18" t="s">
        <v>57</v>
      </c>
      <c r="G18" s="18">
        <v>0</v>
      </c>
      <c r="H18" t="s">
        <v>465</v>
      </c>
      <c r="I18" s="17" t="str">
        <f t="shared" si="1"/>
        <v>0盒0粒</v>
      </c>
    </row>
    <row r="19" spans="1:9" ht="26.45" customHeight="1" x14ac:dyDescent="0.15">
      <c r="A19" s="19" t="s">
        <v>239</v>
      </c>
      <c r="B19" s="19" t="s">
        <v>90</v>
      </c>
      <c r="C19" s="18" t="s">
        <v>441</v>
      </c>
      <c r="D19" s="18" t="s">
        <v>53</v>
      </c>
      <c r="E19" s="18">
        <v>14</v>
      </c>
      <c r="F19" s="18" t="s">
        <v>57</v>
      </c>
      <c r="G19" s="18">
        <v>10</v>
      </c>
      <c r="H19" t="s">
        <v>466</v>
      </c>
      <c r="I19" s="17" t="str">
        <f t="shared" si="1"/>
        <v>0盒10粒</v>
      </c>
    </row>
    <row r="20" spans="1:9" ht="26.45" customHeight="1" x14ac:dyDescent="0.15">
      <c r="A20" s="19" t="s">
        <v>240</v>
      </c>
      <c r="B20" s="19" t="s">
        <v>92</v>
      </c>
      <c r="C20" s="18" t="s">
        <v>57</v>
      </c>
      <c r="D20" s="18" t="s">
        <v>53</v>
      </c>
      <c r="E20" s="18" t="s">
        <v>57</v>
      </c>
      <c r="F20" s="18" t="s">
        <v>62</v>
      </c>
      <c r="G20" s="18">
        <v>0</v>
      </c>
      <c r="H20" t="s">
        <v>467</v>
      </c>
      <c r="I20" s="17" t="e">
        <f t="shared" si="1"/>
        <v>#VALUE!</v>
      </c>
    </row>
    <row r="21" spans="1:9" ht="26.45" customHeight="1" x14ac:dyDescent="0.15">
      <c r="A21" s="19" t="s">
        <v>241</v>
      </c>
      <c r="B21" s="19" t="s">
        <v>93</v>
      </c>
      <c r="C21" s="18">
        <v>100</v>
      </c>
      <c r="D21" s="18" t="s">
        <v>50</v>
      </c>
      <c r="E21" s="18">
        <v>100</v>
      </c>
      <c r="F21" s="18" t="s">
        <v>57</v>
      </c>
      <c r="G21" s="18">
        <v>0</v>
      </c>
      <c r="H21" t="s">
        <v>468</v>
      </c>
      <c r="I21" s="17" t="str">
        <f t="shared" si="1"/>
        <v>0瓶0粒</v>
      </c>
    </row>
    <row r="22" spans="1:9" ht="26.45" customHeight="1" x14ac:dyDescent="0.15">
      <c r="A22" s="19" t="s">
        <v>242</v>
      </c>
      <c r="B22" s="19" t="s">
        <v>94</v>
      </c>
      <c r="C22" s="18" t="s">
        <v>95</v>
      </c>
      <c r="D22" s="18" t="s">
        <v>53</v>
      </c>
      <c r="E22" s="18">
        <v>10</v>
      </c>
      <c r="F22" s="18" t="s">
        <v>62</v>
      </c>
      <c r="G22" s="18">
        <v>0</v>
      </c>
      <c r="H22" t="s">
        <v>349</v>
      </c>
      <c r="I22" s="17" t="str">
        <f t="shared" si="1"/>
        <v>0盒0片</v>
      </c>
    </row>
    <row r="23" spans="1:9" ht="26.45" customHeight="1" x14ac:dyDescent="0.15">
      <c r="A23" s="19" t="s">
        <v>243</v>
      </c>
      <c r="B23" s="19" t="s">
        <v>96</v>
      </c>
      <c r="C23" s="18" t="s">
        <v>91</v>
      </c>
      <c r="D23" s="18" t="s">
        <v>53</v>
      </c>
      <c r="E23" s="18">
        <v>12</v>
      </c>
      <c r="F23" s="18" t="s">
        <v>57</v>
      </c>
      <c r="G23" s="18">
        <v>0</v>
      </c>
      <c r="H23" t="s">
        <v>469</v>
      </c>
      <c r="I23" s="17" t="str">
        <f t="shared" si="1"/>
        <v>0盒0粒</v>
      </c>
    </row>
    <row r="24" spans="1:9" ht="26.45" customHeight="1" x14ac:dyDescent="0.15">
      <c r="A24" s="19" t="s">
        <v>244</v>
      </c>
      <c r="B24" s="19" t="s">
        <v>97</v>
      </c>
      <c r="C24" s="18" t="s">
        <v>98</v>
      </c>
      <c r="D24" s="18" t="s">
        <v>53</v>
      </c>
      <c r="E24" s="18">
        <v>96</v>
      </c>
      <c r="F24" s="18" t="s">
        <v>57</v>
      </c>
      <c r="G24" s="18">
        <v>0</v>
      </c>
      <c r="H24" t="s">
        <v>350</v>
      </c>
      <c r="I24" s="17" t="str">
        <f t="shared" si="1"/>
        <v>0盒0粒</v>
      </c>
    </row>
    <row r="25" spans="1:9" ht="26.45" customHeight="1" x14ac:dyDescent="0.15">
      <c r="A25" s="19" t="s">
        <v>245</v>
      </c>
      <c r="B25" s="19" t="s">
        <v>99</v>
      </c>
      <c r="C25" s="18" t="s">
        <v>44</v>
      </c>
      <c r="D25" s="18" t="s">
        <v>42</v>
      </c>
      <c r="E25" s="18">
        <v>10</v>
      </c>
      <c r="F25" s="18" t="s">
        <v>53</v>
      </c>
      <c r="G25" s="18">
        <v>3</v>
      </c>
      <c r="H25" t="s">
        <v>351</v>
      </c>
      <c r="I25" s="17" t="str">
        <f t="shared" si="1"/>
        <v>0支3盒</v>
      </c>
    </row>
    <row r="26" spans="1:9" ht="26.45" customHeight="1" x14ac:dyDescent="0.15">
      <c r="A26" s="19" t="s">
        <v>246</v>
      </c>
      <c r="B26" s="19" t="s">
        <v>100</v>
      </c>
      <c r="C26" s="18" t="s">
        <v>88</v>
      </c>
      <c r="D26" s="18" t="s">
        <v>53</v>
      </c>
      <c r="E26" s="18">
        <v>6</v>
      </c>
      <c r="F26" s="18" t="s">
        <v>62</v>
      </c>
      <c r="G26" s="18">
        <v>5</v>
      </c>
      <c r="H26" t="s">
        <v>470</v>
      </c>
      <c r="I26" s="17" t="str">
        <f t="shared" si="1"/>
        <v>0盒5片</v>
      </c>
    </row>
    <row r="27" spans="1:9" ht="26.45" customHeight="1" x14ac:dyDescent="0.15">
      <c r="A27" s="19" t="s">
        <v>247</v>
      </c>
      <c r="B27" s="19" t="s">
        <v>101</v>
      </c>
      <c r="C27" s="18" t="s">
        <v>167</v>
      </c>
      <c r="D27" s="18" t="s">
        <v>42</v>
      </c>
      <c r="E27" s="18">
        <v>8</v>
      </c>
      <c r="F27" s="18" t="s">
        <v>110</v>
      </c>
      <c r="G27" s="18">
        <v>0</v>
      </c>
      <c r="H27" t="s">
        <v>471</v>
      </c>
      <c r="I27" s="17" t="str">
        <f t="shared" si="1"/>
        <v>0支0个</v>
      </c>
    </row>
    <row r="28" spans="1:9" ht="26.45" customHeight="1" x14ac:dyDescent="0.15">
      <c r="A28" s="19" t="s">
        <v>248</v>
      </c>
      <c r="B28" s="19" t="s">
        <v>102</v>
      </c>
      <c r="C28" s="18" t="s">
        <v>103</v>
      </c>
      <c r="D28" s="18" t="s">
        <v>42</v>
      </c>
      <c r="E28" s="18">
        <v>1</v>
      </c>
      <c r="F28" s="18" t="s">
        <v>42</v>
      </c>
      <c r="G28" s="18">
        <v>35</v>
      </c>
      <c r="H28" t="s">
        <v>352</v>
      </c>
      <c r="I28" s="17" t="str">
        <f t="shared" si="1"/>
        <v>35支0支</v>
      </c>
    </row>
    <row r="29" spans="1:9" ht="26.45" customHeight="1" x14ac:dyDescent="0.15">
      <c r="A29" s="19" t="s">
        <v>249</v>
      </c>
      <c r="B29" s="19" t="s">
        <v>104</v>
      </c>
      <c r="C29" s="18" t="s">
        <v>44</v>
      </c>
      <c r="D29" s="18" t="s">
        <v>42</v>
      </c>
      <c r="E29" s="18">
        <v>1</v>
      </c>
      <c r="F29" s="18" t="s">
        <v>42</v>
      </c>
      <c r="G29" s="18">
        <v>0</v>
      </c>
      <c r="H29" t="s">
        <v>353</v>
      </c>
      <c r="I29" s="17" t="str">
        <f t="shared" si="1"/>
        <v>0支0支</v>
      </c>
    </row>
    <row r="30" spans="1:9" ht="26.45" customHeight="1" x14ac:dyDescent="0.15">
      <c r="A30" s="19" t="s">
        <v>250</v>
      </c>
      <c r="B30" s="19" t="s">
        <v>105</v>
      </c>
      <c r="C30" s="18" t="s">
        <v>103</v>
      </c>
      <c r="D30" s="18" t="s">
        <v>42</v>
      </c>
      <c r="E30" s="18">
        <v>1</v>
      </c>
      <c r="F30" s="18" t="s">
        <v>42</v>
      </c>
      <c r="G30" s="18">
        <v>15</v>
      </c>
      <c r="H30" t="s">
        <v>354</v>
      </c>
      <c r="I30" s="17" t="str">
        <f t="shared" si="1"/>
        <v>15支0支</v>
      </c>
    </row>
    <row r="31" spans="1:9" ht="26.45" customHeight="1" x14ac:dyDescent="0.15">
      <c r="A31" s="19" t="s">
        <v>251</v>
      </c>
      <c r="B31" s="19" t="s">
        <v>106</v>
      </c>
      <c r="C31" s="18" t="s">
        <v>103</v>
      </c>
      <c r="D31" s="18" t="s">
        <v>42</v>
      </c>
      <c r="E31" s="18">
        <v>1</v>
      </c>
      <c r="F31" s="18" t="s">
        <v>42</v>
      </c>
      <c r="G31" s="18">
        <v>0</v>
      </c>
      <c r="H31" t="s">
        <v>355</v>
      </c>
      <c r="I31" s="17" t="str">
        <f t="shared" si="1"/>
        <v>0支0支</v>
      </c>
    </row>
    <row r="32" spans="1:9" ht="26.45" customHeight="1" x14ac:dyDescent="0.15">
      <c r="A32" s="19" t="s">
        <v>252</v>
      </c>
      <c r="B32" s="19" t="s">
        <v>442</v>
      </c>
      <c r="C32" s="18" t="s">
        <v>44</v>
      </c>
      <c r="D32" s="18" t="s">
        <v>42</v>
      </c>
      <c r="E32" s="18">
        <v>1</v>
      </c>
      <c r="F32" s="18" t="s">
        <v>42</v>
      </c>
      <c r="G32" s="18">
        <v>20</v>
      </c>
      <c r="H32" t="s">
        <v>472</v>
      </c>
      <c r="I32" s="17" t="str">
        <f t="shared" si="1"/>
        <v>20支0支</v>
      </c>
    </row>
    <row r="33" spans="1:9" ht="26.45" customHeight="1" x14ac:dyDescent="0.15">
      <c r="A33" s="19" t="s">
        <v>253</v>
      </c>
      <c r="B33" s="19" t="s">
        <v>107</v>
      </c>
      <c r="C33" s="18" t="s">
        <v>108</v>
      </c>
      <c r="D33" s="18" t="s">
        <v>53</v>
      </c>
      <c r="E33" s="18">
        <v>1</v>
      </c>
      <c r="F33" s="18" t="s">
        <v>50</v>
      </c>
      <c r="G33" s="18">
        <v>0</v>
      </c>
      <c r="H33" t="s">
        <v>356</v>
      </c>
      <c r="I33" s="17" t="str">
        <f t="shared" si="1"/>
        <v>0盒0瓶</v>
      </c>
    </row>
    <row r="34" spans="1:9" ht="26.45" customHeight="1" x14ac:dyDescent="0.15">
      <c r="A34" s="19" t="s">
        <v>254</v>
      </c>
      <c r="B34" s="19" t="s">
        <v>109</v>
      </c>
      <c r="C34" s="18" t="s">
        <v>41</v>
      </c>
      <c r="D34" s="18" t="s">
        <v>110</v>
      </c>
      <c r="E34" s="18">
        <v>1</v>
      </c>
      <c r="F34" s="18" t="s">
        <v>110</v>
      </c>
      <c r="G34" s="18">
        <v>0</v>
      </c>
      <c r="H34" t="s">
        <v>357</v>
      </c>
      <c r="I34" s="17" t="str">
        <f t="shared" si="1"/>
        <v>0个0个</v>
      </c>
    </row>
    <row r="35" spans="1:9" ht="26.45" customHeight="1" x14ac:dyDescent="0.15">
      <c r="A35" s="19" t="s">
        <v>255</v>
      </c>
      <c r="B35" s="19" t="s">
        <v>111</v>
      </c>
      <c r="C35" s="18" t="s">
        <v>112</v>
      </c>
      <c r="D35" s="18" t="s">
        <v>53</v>
      </c>
      <c r="E35" s="18">
        <v>10</v>
      </c>
      <c r="F35" s="18" t="s">
        <v>42</v>
      </c>
      <c r="G35" s="18">
        <v>0</v>
      </c>
      <c r="H35" t="s">
        <v>358</v>
      </c>
      <c r="I35" s="17" t="str">
        <f t="shared" si="1"/>
        <v>0盒0支</v>
      </c>
    </row>
    <row r="36" spans="1:9" ht="26.45" customHeight="1" x14ac:dyDescent="0.15">
      <c r="A36" s="19" t="s">
        <v>256</v>
      </c>
      <c r="B36" s="19" t="s">
        <v>113</v>
      </c>
      <c r="C36" s="18" t="s">
        <v>114</v>
      </c>
      <c r="D36" s="18" t="s">
        <v>50</v>
      </c>
      <c r="E36" s="18">
        <v>1</v>
      </c>
      <c r="F36" s="18" t="s">
        <v>50</v>
      </c>
      <c r="G36" s="18">
        <v>0</v>
      </c>
      <c r="H36" t="s">
        <v>359</v>
      </c>
      <c r="I36" s="17" t="str">
        <f t="shared" si="1"/>
        <v>0瓶0瓶</v>
      </c>
    </row>
    <row r="37" spans="1:9" ht="26.45" customHeight="1" x14ac:dyDescent="0.15">
      <c r="A37" s="19" t="s">
        <v>257</v>
      </c>
      <c r="B37" s="19" t="s">
        <v>115</v>
      </c>
      <c r="C37" s="18" t="s">
        <v>443</v>
      </c>
      <c r="D37" s="18" t="s">
        <v>53</v>
      </c>
      <c r="E37" s="18" t="s">
        <v>116</v>
      </c>
      <c r="F37" s="18" t="s">
        <v>175</v>
      </c>
      <c r="G37" s="18">
        <v>9</v>
      </c>
      <c r="H37" t="s">
        <v>473</v>
      </c>
      <c r="I37" s="17" t="e">
        <f t="shared" si="1"/>
        <v>#VALUE!</v>
      </c>
    </row>
    <row r="38" spans="1:9" ht="26.45" customHeight="1" x14ac:dyDescent="0.15">
      <c r="A38" s="19" t="s">
        <v>258</v>
      </c>
      <c r="B38" s="19" t="s">
        <v>117</v>
      </c>
      <c r="C38" s="18" t="s">
        <v>444</v>
      </c>
      <c r="D38" s="18" t="s">
        <v>42</v>
      </c>
      <c r="E38" s="18" t="s">
        <v>50</v>
      </c>
      <c r="F38" s="18" t="s">
        <v>42</v>
      </c>
      <c r="G38" s="18">
        <v>0</v>
      </c>
      <c r="H38" t="s">
        <v>474</v>
      </c>
      <c r="I38" s="17" t="e">
        <f t="shared" si="1"/>
        <v>#VALUE!</v>
      </c>
    </row>
    <row r="39" spans="1:9" ht="26.45" customHeight="1" x14ac:dyDescent="0.15">
      <c r="A39" s="19" t="s">
        <v>259</v>
      </c>
      <c r="B39" s="19" t="s">
        <v>118</v>
      </c>
      <c r="C39" s="18" t="s">
        <v>445</v>
      </c>
      <c r="D39" s="18" t="s">
        <v>446</v>
      </c>
      <c r="E39" s="18" t="s">
        <v>62</v>
      </c>
      <c r="F39" s="18" t="s">
        <v>53</v>
      </c>
      <c r="G39" s="18">
        <v>30</v>
      </c>
      <c r="H39" t="s">
        <v>475</v>
      </c>
      <c r="I39" s="17" t="e">
        <f t="shared" si="1"/>
        <v>#VALUE!</v>
      </c>
    </row>
    <row r="40" spans="1:9" ht="26.45" customHeight="1" x14ac:dyDescent="0.15">
      <c r="A40" s="19" t="s">
        <v>260</v>
      </c>
      <c r="B40" s="19" t="s">
        <v>119</v>
      </c>
      <c r="C40" s="18" t="s">
        <v>447</v>
      </c>
      <c r="D40" s="18" t="s">
        <v>53</v>
      </c>
      <c r="E40" s="18" t="s">
        <v>57</v>
      </c>
      <c r="F40" s="18" t="s">
        <v>57</v>
      </c>
      <c r="G40" s="18">
        <v>0</v>
      </c>
      <c r="H40" t="s">
        <v>476</v>
      </c>
      <c r="I40" s="17" t="e">
        <f t="shared" si="1"/>
        <v>#VALUE!</v>
      </c>
    </row>
    <row r="41" spans="1:9" ht="26.45" customHeight="1" x14ac:dyDescent="0.15">
      <c r="A41" s="19" t="s">
        <v>261</v>
      </c>
      <c r="B41" s="19" t="s">
        <v>120</v>
      </c>
      <c r="C41" s="18" t="s">
        <v>121</v>
      </c>
      <c r="D41" s="18" t="s">
        <v>53</v>
      </c>
      <c r="E41" s="18" t="s">
        <v>57</v>
      </c>
      <c r="F41" s="18" t="s">
        <v>448</v>
      </c>
      <c r="G41" s="18">
        <v>5</v>
      </c>
      <c r="H41" t="s">
        <v>360</v>
      </c>
      <c r="I41" s="17" t="e">
        <f t="shared" si="1"/>
        <v>#VALUE!</v>
      </c>
    </row>
    <row r="42" spans="1:9" ht="26.45" customHeight="1" x14ac:dyDescent="0.15">
      <c r="A42" s="19" t="s">
        <v>262</v>
      </c>
      <c r="B42" s="19" t="s">
        <v>122</v>
      </c>
      <c r="C42" s="18" t="s">
        <v>123</v>
      </c>
      <c r="D42" s="18" t="s">
        <v>50</v>
      </c>
      <c r="E42" s="18" t="s">
        <v>50</v>
      </c>
      <c r="F42" s="18" t="s">
        <v>53</v>
      </c>
      <c r="G42" s="18">
        <v>0</v>
      </c>
      <c r="H42" t="s">
        <v>361</v>
      </c>
      <c r="I42" s="17" t="e">
        <f t="shared" si="1"/>
        <v>#VALUE!</v>
      </c>
    </row>
    <row r="43" spans="1:9" ht="26.45" customHeight="1" x14ac:dyDescent="0.15">
      <c r="A43" s="19" t="s">
        <v>263</v>
      </c>
      <c r="B43" s="19" t="s">
        <v>124</v>
      </c>
      <c r="C43" s="18" t="s">
        <v>125</v>
      </c>
      <c r="D43" s="18" t="s">
        <v>53</v>
      </c>
      <c r="E43" s="18" t="s">
        <v>42</v>
      </c>
      <c r="F43" s="18" t="s">
        <v>42</v>
      </c>
      <c r="G43" s="18">
        <v>5</v>
      </c>
      <c r="H43" t="s">
        <v>362</v>
      </c>
      <c r="I43" s="17" t="e">
        <f t="shared" si="1"/>
        <v>#VALUE!</v>
      </c>
    </row>
    <row r="44" spans="1:9" ht="26.45" customHeight="1" x14ac:dyDescent="0.15">
      <c r="A44" s="19" t="s">
        <v>264</v>
      </c>
      <c r="B44" s="19" t="s">
        <v>126</v>
      </c>
      <c r="C44" s="18" t="s">
        <v>49</v>
      </c>
      <c r="D44" s="18" t="s">
        <v>53</v>
      </c>
      <c r="E44" s="18" t="s">
        <v>446</v>
      </c>
      <c r="F44" s="18" t="s">
        <v>62</v>
      </c>
      <c r="G44" s="18">
        <v>13</v>
      </c>
      <c r="H44" t="s">
        <v>363</v>
      </c>
      <c r="I44" s="17" t="e">
        <f t="shared" si="1"/>
        <v>#VALUE!</v>
      </c>
    </row>
    <row r="45" spans="1:9" ht="26.45" customHeight="1" x14ac:dyDescent="0.15">
      <c r="A45" s="19" t="s">
        <v>265</v>
      </c>
      <c r="B45" s="19" t="s">
        <v>127</v>
      </c>
      <c r="C45" s="18" t="s">
        <v>42</v>
      </c>
      <c r="D45" s="18" t="s">
        <v>53</v>
      </c>
      <c r="E45" s="18" t="s">
        <v>42</v>
      </c>
      <c r="F45" s="18" t="s">
        <v>50</v>
      </c>
      <c r="G45" s="18">
        <v>318</v>
      </c>
      <c r="H45" t="s">
        <v>477</v>
      </c>
      <c r="I45" s="17" t="e">
        <f t="shared" si="1"/>
        <v>#VALUE!</v>
      </c>
    </row>
    <row r="46" spans="1:9" ht="26.45" customHeight="1" x14ac:dyDescent="0.15">
      <c r="A46" s="19" t="s">
        <v>266</v>
      </c>
      <c r="B46" s="19" t="s">
        <v>128</v>
      </c>
      <c r="C46" s="18" t="s">
        <v>129</v>
      </c>
      <c r="D46" s="18" t="s">
        <v>53</v>
      </c>
      <c r="E46" s="18" t="s">
        <v>62</v>
      </c>
      <c r="F46" s="18" t="s">
        <v>53</v>
      </c>
      <c r="G46" s="18">
        <v>0</v>
      </c>
      <c r="H46" t="s">
        <v>364</v>
      </c>
      <c r="I46" s="17" t="e">
        <f t="shared" si="1"/>
        <v>#VALUE!</v>
      </c>
    </row>
    <row r="47" spans="1:9" ht="26.45" customHeight="1" x14ac:dyDescent="0.15">
      <c r="A47" s="19" t="s">
        <v>267</v>
      </c>
      <c r="B47" s="19" t="s">
        <v>130</v>
      </c>
      <c r="C47" s="18" t="s">
        <v>449</v>
      </c>
      <c r="D47" s="18" t="s">
        <v>53</v>
      </c>
      <c r="E47" s="18" t="s">
        <v>175</v>
      </c>
      <c r="F47" s="18" t="s">
        <v>116</v>
      </c>
      <c r="G47" s="18">
        <v>3</v>
      </c>
      <c r="H47" t="s">
        <v>478</v>
      </c>
      <c r="I47" s="17" t="e">
        <f t="shared" si="1"/>
        <v>#VALUE!</v>
      </c>
    </row>
    <row r="48" spans="1:9" ht="26.45" customHeight="1" x14ac:dyDescent="0.15">
      <c r="A48" s="19" t="s">
        <v>268</v>
      </c>
      <c r="B48" s="19" t="s">
        <v>131</v>
      </c>
      <c r="C48" s="18" t="s">
        <v>132</v>
      </c>
      <c r="D48" s="18" t="s">
        <v>53</v>
      </c>
      <c r="E48" s="18" t="s">
        <v>57</v>
      </c>
      <c r="F48" s="18" t="s">
        <v>57</v>
      </c>
      <c r="G48" s="18">
        <v>0</v>
      </c>
      <c r="H48" t="s">
        <v>365</v>
      </c>
      <c r="I48" s="17" t="e">
        <f t="shared" si="1"/>
        <v>#VALUE!</v>
      </c>
    </row>
    <row r="49" spans="1:9" ht="26.45" customHeight="1" x14ac:dyDescent="0.15">
      <c r="A49" s="19" t="s">
        <v>269</v>
      </c>
      <c r="B49" s="19" t="s">
        <v>133</v>
      </c>
      <c r="C49" s="18" t="s">
        <v>49</v>
      </c>
      <c r="D49" s="18" t="s">
        <v>50</v>
      </c>
      <c r="E49" s="18" t="s">
        <v>57</v>
      </c>
      <c r="F49" s="18" t="s">
        <v>62</v>
      </c>
      <c r="G49" s="18">
        <v>0</v>
      </c>
      <c r="H49" t="s">
        <v>366</v>
      </c>
      <c r="I49" s="17" t="e">
        <f t="shared" si="1"/>
        <v>#VALUE!</v>
      </c>
    </row>
    <row r="50" spans="1:9" ht="26.45" customHeight="1" x14ac:dyDescent="0.15">
      <c r="A50" s="19" t="s">
        <v>270</v>
      </c>
      <c r="B50" s="19" t="s">
        <v>134</v>
      </c>
      <c r="C50" s="18" t="s">
        <v>77</v>
      </c>
      <c r="D50" s="18" t="s">
        <v>53</v>
      </c>
      <c r="E50" s="18" t="s">
        <v>116</v>
      </c>
      <c r="F50" s="18" t="s">
        <v>175</v>
      </c>
      <c r="G50" s="18">
        <v>0</v>
      </c>
      <c r="H50" t="s">
        <v>367</v>
      </c>
      <c r="I50" s="17" t="e">
        <f t="shared" si="1"/>
        <v>#VALUE!</v>
      </c>
    </row>
    <row r="51" spans="1:9" ht="26.45" customHeight="1" x14ac:dyDescent="0.15">
      <c r="A51" s="19" t="s">
        <v>271</v>
      </c>
      <c r="B51" s="19" t="s">
        <v>135</v>
      </c>
      <c r="C51" s="18" t="s">
        <v>450</v>
      </c>
      <c r="D51" s="18" t="s">
        <v>53</v>
      </c>
      <c r="E51" s="18" t="s">
        <v>175</v>
      </c>
      <c r="F51" s="18" t="s">
        <v>116</v>
      </c>
      <c r="G51" s="18">
        <v>19</v>
      </c>
      <c r="H51" t="s">
        <v>479</v>
      </c>
      <c r="I51" s="17" t="e">
        <f t="shared" si="1"/>
        <v>#VALUE!</v>
      </c>
    </row>
    <row r="52" spans="1:9" ht="26.45" customHeight="1" x14ac:dyDescent="0.15">
      <c r="A52" s="19" t="s">
        <v>272</v>
      </c>
      <c r="B52" s="19" t="s">
        <v>136</v>
      </c>
      <c r="C52" s="18" t="s">
        <v>137</v>
      </c>
      <c r="D52" s="18" t="s">
        <v>53</v>
      </c>
      <c r="E52" s="18" t="s">
        <v>50</v>
      </c>
      <c r="F52" s="18" t="s">
        <v>53</v>
      </c>
      <c r="G52" s="18">
        <v>16</v>
      </c>
      <c r="H52" t="s">
        <v>368</v>
      </c>
      <c r="I52" s="17" t="e">
        <f t="shared" si="1"/>
        <v>#VALUE!</v>
      </c>
    </row>
    <row r="53" spans="1:9" ht="26.45" customHeight="1" x14ac:dyDescent="0.15">
      <c r="A53" s="19" t="s">
        <v>273</v>
      </c>
      <c r="B53" s="19" t="s">
        <v>138</v>
      </c>
      <c r="C53" s="18" t="s">
        <v>139</v>
      </c>
      <c r="D53" s="18" t="s">
        <v>53</v>
      </c>
      <c r="E53" s="18" t="s">
        <v>50</v>
      </c>
      <c r="F53" s="18" t="s">
        <v>53</v>
      </c>
      <c r="G53" s="18">
        <v>40</v>
      </c>
      <c r="H53" t="s">
        <v>369</v>
      </c>
      <c r="I53" s="17" t="e">
        <f t="shared" si="1"/>
        <v>#VALUE!</v>
      </c>
    </row>
    <row r="54" spans="1:9" ht="26.45" customHeight="1" x14ac:dyDescent="0.15">
      <c r="A54" s="19" t="s">
        <v>274</v>
      </c>
      <c r="B54" s="19" t="s">
        <v>140</v>
      </c>
      <c r="C54" s="18" t="s">
        <v>141</v>
      </c>
      <c r="D54" s="18" t="s">
        <v>53</v>
      </c>
      <c r="E54" s="18" t="s">
        <v>446</v>
      </c>
      <c r="F54" s="18" t="s">
        <v>62</v>
      </c>
      <c r="G54" s="18">
        <v>0</v>
      </c>
      <c r="H54" t="s">
        <v>370</v>
      </c>
      <c r="I54" s="17" t="e">
        <f t="shared" si="1"/>
        <v>#VALUE!</v>
      </c>
    </row>
    <row r="55" spans="1:9" ht="26.45" customHeight="1" x14ac:dyDescent="0.15">
      <c r="A55" s="19" t="s">
        <v>275</v>
      </c>
      <c r="B55" s="19" t="s">
        <v>142</v>
      </c>
      <c r="C55" s="18" t="s">
        <v>49</v>
      </c>
      <c r="D55" s="18" t="s">
        <v>50</v>
      </c>
      <c r="E55" s="18" t="s">
        <v>62</v>
      </c>
      <c r="F55" s="18" t="s">
        <v>57</v>
      </c>
      <c r="G55" s="18">
        <v>10</v>
      </c>
      <c r="H55" t="s">
        <v>371</v>
      </c>
      <c r="I55" s="17" t="e">
        <f t="shared" si="1"/>
        <v>#VALUE!</v>
      </c>
    </row>
    <row r="56" spans="1:9" ht="26.45" customHeight="1" x14ac:dyDescent="0.15">
      <c r="A56" s="19" t="s">
        <v>276</v>
      </c>
      <c r="B56" s="19" t="s">
        <v>143</v>
      </c>
      <c r="C56" s="18" t="s">
        <v>49</v>
      </c>
      <c r="D56" s="18" t="s">
        <v>50</v>
      </c>
      <c r="E56" s="18" t="s">
        <v>62</v>
      </c>
      <c r="F56" s="18" t="s">
        <v>57</v>
      </c>
      <c r="G56" s="18">
        <v>0</v>
      </c>
      <c r="H56" t="s">
        <v>372</v>
      </c>
      <c r="I56" s="17" t="e">
        <f t="shared" si="1"/>
        <v>#VALUE!</v>
      </c>
    </row>
    <row r="57" spans="1:9" ht="26.45" customHeight="1" x14ac:dyDescent="0.15">
      <c r="A57" s="19" t="s">
        <v>277</v>
      </c>
      <c r="B57" s="19" t="s">
        <v>144</v>
      </c>
      <c r="C57" s="18" t="s">
        <v>145</v>
      </c>
      <c r="D57" s="18" t="s">
        <v>53</v>
      </c>
      <c r="E57" s="18" t="s">
        <v>62</v>
      </c>
      <c r="F57" s="18" t="s">
        <v>57</v>
      </c>
      <c r="G57" s="18">
        <v>0</v>
      </c>
      <c r="H57" t="s">
        <v>373</v>
      </c>
      <c r="I57" s="17" t="e">
        <f t="shared" si="1"/>
        <v>#VALUE!</v>
      </c>
    </row>
    <row r="58" spans="1:9" ht="26.45" customHeight="1" x14ac:dyDescent="0.15">
      <c r="A58" s="19" t="s">
        <v>278</v>
      </c>
      <c r="B58" s="19" t="s">
        <v>146</v>
      </c>
      <c r="C58" s="18" t="s">
        <v>77</v>
      </c>
      <c r="D58" s="18" t="s">
        <v>53</v>
      </c>
      <c r="E58" s="18" t="s">
        <v>116</v>
      </c>
      <c r="F58" s="18" t="s">
        <v>53</v>
      </c>
      <c r="G58" s="18">
        <v>0</v>
      </c>
      <c r="H58" t="s">
        <v>374</v>
      </c>
      <c r="I58" s="17" t="e">
        <f t="shared" si="1"/>
        <v>#VALUE!</v>
      </c>
    </row>
    <row r="59" spans="1:9" ht="26.45" customHeight="1" x14ac:dyDescent="0.15">
      <c r="A59" s="19" t="s">
        <v>279</v>
      </c>
      <c r="B59" s="19" t="s">
        <v>147</v>
      </c>
      <c r="C59" s="18" t="s">
        <v>148</v>
      </c>
      <c r="D59" s="18" t="s">
        <v>53</v>
      </c>
      <c r="E59" s="18" t="s">
        <v>116</v>
      </c>
      <c r="F59" s="18" t="s">
        <v>175</v>
      </c>
      <c r="G59" s="18">
        <v>30</v>
      </c>
      <c r="H59" t="s">
        <v>375</v>
      </c>
      <c r="I59" s="17" t="e">
        <f t="shared" si="1"/>
        <v>#VALUE!</v>
      </c>
    </row>
    <row r="60" spans="1:9" ht="26.45" customHeight="1" x14ac:dyDescent="0.15">
      <c r="A60" s="19" t="s">
        <v>280</v>
      </c>
      <c r="B60" s="19" t="s">
        <v>149</v>
      </c>
      <c r="C60" s="18" t="s">
        <v>141</v>
      </c>
      <c r="D60" s="18" t="s">
        <v>53</v>
      </c>
      <c r="E60" s="18" t="s">
        <v>446</v>
      </c>
      <c r="F60" s="18" t="s">
        <v>62</v>
      </c>
      <c r="G60" s="18">
        <v>8</v>
      </c>
      <c r="H60" t="s">
        <v>376</v>
      </c>
      <c r="I60" s="17" t="e">
        <f t="shared" si="1"/>
        <v>#VALUE!</v>
      </c>
    </row>
    <row r="61" spans="1:9" ht="26.45" customHeight="1" x14ac:dyDescent="0.15">
      <c r="A61" s="19" t="s">
        <v>281</v>
      </c>
      <c r="B61" s="19" t="s">
        <v>150</v>
      </c>
      <c r="C61" s="18" t="s">
        <v>141</v>
      </c>
      <c r="D61" s="18" t="s">
        <v>53</v>
      </c>
      <c r="E61" s="18" t="s">
        <v>446</v>
      </c>
      <c r="F61" s="18" t="s">
        <v>62</v>
      </c>
      <c r="G61" s="18">
        <v>10</v>
      </c>
      <c r="H61" t="s">
        <v>377</v>
      </c>
      <c r="I61" s="17" t="e">
        <f t="shared" si="1"/>
        <v>#VALUE!</v>
      </c>
    </row>
    <row r="62" spans="1:9" ht="26.45" customHeight="1" x14ac:dyDescent="0.15">
      <c r="A62" s="19" t="s">
        <v>282</v>
      </c>
      <c r="B62" s="19" t="s">
        <v>151</v>
      </c>
      <c r="C62" s="18" t="s">
        <v>152</v>
      </c>
      <c r="D62" s="18" t="s">
        <v>50</v>
      </c>
      <c r="E62" s="18" t="s">
        <v>50</v>
      </c>
      <c r="F62" s="18" t="s">
        <v>53</v>
      </c>
      <c r="G62" s="18">
        <v>20</v>
      </c>
      <c r="H62" t="s">
        <v>378</v>
      </c>
      <c r="I62" s="17" t="e">
        <f t="shared" si="1"/>
        <v>#VALUE!</v>
      </c>
    </row>
    <row r="63" spans="1:9" ht="26.45" customHeight="1" x14ac:dyDescent="0.15">
      <c r="A63" s="19" t="s">
        <v>283</v>
      </c>
      <c r="B63" s="19" t="s">
        <v>153</v>
      </c>
      <c r="C63" s="18" t="s">
        <v>154</v>
      </c>
      <c r="D63" s="18" t="s">
        <v>53</v>
      </c>
      <c r="E63" s="18" t="s">
        <v>42</v>
      </c>
      <c r="F63" s="18" t="s">
        <v>42</v>
      </c>
      <c r="G63" s="18">
        <v>0</v>
      </c>
      <c r="H63" t="s">
        <v>379</v>
      </c>
      <c r="I63" s="17" t="e">
        <f t="shared" si="1"/>
        <v>#VALUE!</v>
      </c>
    </row>
    <row r="64" spans="1:9" ht="26.45" customHeight="1" x14ac:dyDescent="0.15">
      <c r="A64" s="19" t="s">
        <v>284</v>
      </c>
      <c r="B64" s="19" t="s">
        <v>155</v>
      </c>
      <c r="C64" s="18" t="s">
        <v>49</v>
      </c>
      <c r="D64" s="18" t="s">
        <v>50</v>
      </c>
      <c r="E64" s="18" t="s">
        <v>57</v>
      </c>
      <c r="F64" s="18" t="s">
        <v>62</v>
      </c>
      <c r="G64" s="18">
        <v>30</v>
      </c>
      <c r="H64" t="s">
        <v>380</v>
      </c>
      <c r="I64" s="17" t="e">
        <f t="shared" si="1"/>
        <v>#VALUE!</v>
      </c>
    </row>
    <row r="65" spans="1:9" ht="26.45" customHeight="1" x14ac:dyDescent="0.15">
      <c r="A65" s="19" t="s">
        <v>285</v>
      </c>
      <c r="B65" s="19" t="s">
        <v>156</v>
      </c>
      <c r="C65" s="18" t="s">
        <v>157</v>
      </c>
      <c r="D65" s="18" t="s">
        <v>50</v>
      </c>
      <c r="E65" s="18" t="s">
        <v>57</v>
      </c>
      <c r="F65" s="18" t="s">
        <v>62</v>
      </c>
      <c r="G65" s="18">
        <v>0</v>
      </c>
      <c r="H65" t="s">
        <v>381</v>
      </c>
      <c r="I65" s="17" t="e">
        <f t="shared" si="1"/>
        <v>#VALUE!</v>
      </c>
    </row>
    <row r="66" spans="1:9" ht="26.45" customHeight="1" x14ac:dyDescent="0.15">
      <c r="A66" s="19" t="s">
        <v>286</v>
      </c>
      <c r="B66" s="19" t="s">
        <v>158</v>
      </c>
      <c r="C66" s="18" t="s">
        <v>49</v>
      </c>
      <c r="D66" s="18" t="s">
        <v>50</v>
      </c>
      <c r="E66" s="18" t="s">
        <v>57</v>
      </c>
      <c r="F66" s="18" t="s">
        <v>62</v>
      </c>
      <c r="G66" s="18">
        <v>4</v>
      </c>
      <c r="H66" t="s">
        <v>382</v>
      </c>
      <c r="I66" s="17" t="e">
        <f t="shared" si="1"/>
        <v>#VALUE!</v>
      </c>
    </row>
    <row r="67" spans="1:9" ht="26.45" customHeight="1" x14ac:dyDescent="0.15">
      <c r="A67" s="19" t="s">
        <v>287</v>
      </c>
      <c r="B67" s="19" t="s">
        <v>159</v>
      </c>
      <c r="C67" s="18" t="s">
        <v>160</v>
      </c>
      <c r="D67" s="18" t="s">
        <v>53</v>
      </c>
      <c r="E67" s="18" t="s">
        <v>57</v>
      </c>
      <c r="F67" s="18" t="s">
        <v>62</v>
      </c>
      <c r="G67" s="18">
        <v>0</v>
      </c>
      <c r="H67" t="s">
        <v>383</v>
      </c>
      <c r="I67" s="17" t="e">
        <f t="shared" si="1"/>
        <v>#VALUE!</v>
      </c>
    </row>
    <row r="68" spans="1:9" ht="26.45" customHeight="1" x14ac:dyDescent="0.15">
      <c r="A68" s="19" t="s">
        <v>288</v>
      </c>
      <c r="B68" s="19" t="s">
        <v>161</v>
      </c>
      <c r="C68" s="18" t="s">
        <v>162</v>
      </c>
      <c r="D68" s="18" t="s">
        <v>53</v>
      </c>
      <c r="E68" s="18" t="s">
        <v>57</v>
      </c>
      <c r="F68" s="18" t="s">
        <v>62</v>
      </c>
      <c r="G68" s="18">
        <v>0</v>
      </c>
      <c r="H68" t="s">
        <v>384</v>
      </c>
      <c r="I68" s="17" t="e">
        <f t="shared" si="1"/>
        <v>#VALUE!</v>
      </c>
    </row>
    <row r="69" spans="1:9" ht="26.45" customHeight="1" x14ac:dyDescent="0.15">
      <c r="A69" s="19" t="s">
        <v>289</v>
      </c>
      <c r="B69" s="19" t="s">
        <v>163</v>
      </c>
      <c r="C69" s="18" t="s">
        <v>162</v>
      </c>
      <c r="D69" s="18" t="s">
        <v>53</v>
      </c>
      <c r="E69" s="18" t="s">
        <v>57</v>
      </c>
      <c r="F69" s="18" t="s">
        <v>57</v>
      </c>
      <c r="G69" s="18">
        <v>0</v>
      </c>
      <c r="H69" t="s">
        <v>480</v>
      </c>
      <c r="I69" s="17" t="e">
        <f t="shared" si="1"/>
        <v>#VALUE!</v>
      </c>
    </row>
    <row r="70" spans="1:9" ht="26.45" customHeight="1" x14ac:dyDescent="0.15">
      <c r="A70" s="19" t="s">
        <v>290</v>
      </c>
      <c r="B70" s="19" t="s">
        <v>164</v>
      </c>
      <c r="C70" s="18" t="s">
        <v>165</v>
      </c>
      <c r="D70" s="18" t="s">
        <v>53</v>
      </c>
      <c r="E70" s="18" t="s">
        <v>57</v>
      </c>
      <c r="F70" s="18" t="s">
        <v>62</v>
      </c>
      <c r="G70" s="18">
        <v>10</v>
      </c>
      <c r="H70" t="s">
        <v>385</v>
      </c>
      <c r="I70" s="17" t="e">
        <f t="shared" si="1"/>
        <v>#VALUE!</v>
      </c>
    </row>
    <row r="71" spans="1:9" ht="26.45" customHeight="1" x14ac:dyDescent="0.15">
      <c r="A71" s="19" t="s">
        <v>291</v>
      </c>
      <c r="B71" s="19" t="s">
        <v>166</v>
      </c>
      <c r="C71" s="18" t="s">
        <v>167</v>
      </c>
      <c r="D71" s="18" t="s">
        <v>53</v>
      </c>
      <c r="E71" s="18" t="s">
        <v>42</v>
      </c>
      <c r="F71" s="18" t="s">
        <v>50</v>
      </c>
      <c r="G71" s="18">
        <v>0</v>
      </c>
      <c r="H71" t="s">
        <v>386</v>
      </c>
      <c r="I71" s="17" t="e">
        <f t="shared" si="1"/>
        <v>#VALUE!</v>
      </c>
    </row>
    <row r="72" spans="1:9" ht="26.45" customHeight="1" x14ac:dyDescent="0.15">
      <c r="A72" s="19" t="s">
        <v>292</v>
      </c>
      <c r="B72" s="19" t="s">
        <v>168</v>
      </c>
      <c r="C72" s="18" t="s">
        <v>53</v>
      </c>
      <c r="D72" s="18" t="s">
        <v>53</v>
      </c>
      <c r="E72" s="18" t="s">
        <v>62</v>
      </c>
      <c r="F72" s="18" t="s">
        <v>57</v>
      </c>
      <c r="G72" s="18">
        <v>0</v>
      </c>
      <c r="H72" t="s">
        <v>387</v>
      </c>
      <c r="I72" s="17" t="e">
        <f t="shared" ref="I72:I126" si="2">INT(G72/E72)&amp;D72&amp;MOD(G72,E72)&amp;F72</f>
        <v>#VALUE!</v>
      </c>
    </row>
    <row r="73" spans="1:9" ht="26.45" customHeight="1" x14ac:dyDescent="0.15">
      <c r="A73" s="19" t="s">
        <v>293</v>
      </c>
      <c r="B73" s="19" t="s">
        <v>169</v>
      </c>
      <c r="C73" s="18" t="s">
        <v>49</v>
      </c>
      <c r="D73" s="18" t="s">
        <v>50</v>
      </c>
      <c r="E73" s="18" t="s">
        <v>62</v>
      </c>
      <c r="F73" s="18" t="s">
        <v>50</v>
      </c>
      <c r="G73" s="18">
        <v>4</v>
      </c>
      <c r="H73" t="s">
        <v>388</v>
      </c>
      <c r="I73" s="17" t="e">
        <f t="shared" si="2"/>
        <v>#VALUE!</v>
      </c>
    </row>
    <row r="74" spans="1:9" ht="26.45" customHeight="1" x14ac:dyDescent="0.15">
      <c r="A74" s="19" t="s">
        <v>294</v>
      </c>
      <c r="B74" s="19" t="s">
        <v>170</v>
      </c>
      <c r="C74" s="18" t="s">
        <v>451</v>
      </c>
      <c r="D74" s="18" t="s">
        <v>53</v>
      </c>
      <c r="E74" s="18" t="s">
        <v>175</v>
      </c>
      <c r="F74" s="18" t="s">
        <v>116</v>
      </c>
      <c r="G74" s="18">
        <v>40</v>
      </c>
      <c r="H74" t="s">
        <v>481</v>
      </c>
      <c r="I74" s="17" t="e">
        <f t="shared" si="2"/>
        <v>#VALUE!</v>
      </c>
    </row>
    <row r="75" spans="1:9" ht="26.45" customHeight="1" x14ac:dyDescent="0.15">
      <c r="A75" s="19" t="s">
        <v>295</v>
      </c>
      <c r="B75" s="19" t="s">
        <v>171</v>
      </c>
      <c r="C75" s="18" t="s">
        <v>172</v>
      </c>
      <c r="D75" s="18" t="s">
        <v>53</v>
      </c>
      <c r="E75" s="18" t="s">
        <v>42</v>
      </c>
      <c r="F75" s="18" t="s">
        <v>50</v>
      </c>
      <c r="G75" s="18">
        <v>0</v>
      </c>
      <c r="H75" t="s">
        <v>389</v>
      </c>
      <c r="I75" s="17" t="e">
        <f t="shared" si="2"/>
        <v>#VALUE!</v>
      </c>
    </row>
    <row r="76" spans="1:9" ht="26.45" customHeight="1" x14ac:dyDescent="0.15">
      <c r="A76" s="19" t="s">
        <v>296</v>
      </c>
      <c r="B76" s="19" t="s">
        <v>173</v>
      </c>
      <c r="C76" s="18" t="s">
        <v>162</v>
      </c>
      <c r="D76" s="18" t="s">
        <v>53</v>
      </c>
      <c r="E76" s="18" t="s">
        <v>57</v>
      </c>
      <c r="F76" s="18" t="s">
        <v>62</v>
      </c>
      <c r="G76" s="18">
        <v>10</v>
      </c>
      <c r="H76" t="s">
        <v>390</v>
      </c>
      <c r="I76" s="17" t="e">
        <f t="shared" si="2"/>
        <v>#VALUE!</v>
      </c>
    </row>
    <row r="77" spans="1:9" ht="26.45" customHeight="1" x14ac:dyDescent="0.15">
      <c r="A77" s="19" t="s">
        <v>297</v>
      </c>
      <c r="B77" s="19" t="s">
        <v>174</v>
      </c>
      <c r="C77" s="18" t="s">
        <v>148</v>
      </c>
      <c r="D77" s="18" t="s">
        <v>175</v>
      </c>
      <c r="E77" s="18" t="s">
        <v>175</v>
      </c>
      <c r="F77" s="18" t="s">
        <v>116</v>
      </c>
      <c r="G77" s="18">
        <v>67</v>
      </c>
      <c r="H77" t="s">
        <v>391</v>
      </c>
      <c r="I77" s="17" t="e">
        <f t="shared" si="2"/>
        <v>#VALUE!</v>
      </c>
    </row>
    <row r="78" spans="1:9" ht="26.45" customHeight="1" x14ac:dyDescent="0.15">
      <c r="A78" s="19" t="s">
        <v>298</v>
      </c>
      <c r="B78" s="19" t="s">
        <v>176</v>
      </c>
      <c r="C78" s="18" t="s">
        <v>177</v>
      </c>
      <c r="D78" s="18" t="s">
        <v>50</v>
      </c>
      <c r="E78" s="18" t="s">
        <v>57</v>
      </c>
      <c r="F78" s="18" t="s">
        <v>62</v>
      </c>
      <c r="G78" s="18">
        <v>40</v>
      </c>
      <c r="H78" t="s">
        <v>392</v>
      </c>
      <c r="I78" s="17" t="e">
        <f t="shared" si="2"/>
        <v>#VALUE!</v>
      </c>
    </row>
    <row r="79" spans="1:9" ht="26.45" customHeight="1" x14ac:dyDescent="0.15">
      <c r="A79" s="19" t="s">
        <v>299</v>
      </c>
      <c r="B79" s="19" t="s">
        <v>178</v>
      </c>
      <c r="C79" s="18" t="s">
        <v>52</v>
      </c>
      <c r="D79" s="18" t="s">
        <v>53</v>
      </c>
      <c r="E79" s="18" t="s">
        <v>57</v>
      </c>
      <c r="F79" s="18" t="s">
        <v>448</v>
      </c>
      <c r="G79" s="18">
        <v>20</v>
      </c>
      <c r="H79" t="s">
        <v>393</v>
      </c>
      <c r="I79" s="17" t="e">
        <f t="shared" si="2"/>
        <v>#VALUE!</v>
      </c>
    </row>
    <row r="80" spans="1:9" ht="26.45" customHeight="1" x14ac:dyDescent="0.15">
      <c r="A80" s="19" t="s">
        <v>300</v>
      </c>
      <c r="B80" s="19" t="s">
        <v>179</v>
      </c>
      <c r="C80" s="18" t="s">
        <v>123</v>
      </c>
      <c r="D80" s="18" t="s">
        <v>50</v>
      </c>
      <c r="E80" s="18" t="s">
        <v>50</v>
      </c>
      <c r="F80" s="18" t="s">
        <v>53</v>
      </c>
      <c r="G80" s="18">
        <v>10</v>
      </c>
      <c r="H80" t="s">
        <v>394</v>
      </c>
      <c r="I80" s="17" t="e">
        <f t="shared" si="2"/>
        <v>#VALUE!</v>
      </c>
    </row>
    <row r="81" spans="1:9" ht="26.45" customHeight="1" x14ac:dyDescent="0.15">
      <c r="A81" s="19" t="s">
        <v>301</v>
      </c>
      <c r="B81" s="19" t="s">
        <v>180</v>
      </c>
      <c r="C81" s="18" t="s">
        <v>86</v>
      </c>
      <c r="D81" s="18" t="s">
        <v>53</v>
      </c>
      <c r="E81" s="18" t="s">
        <v>175</v>
      </c>
      <c r="F81" s="18" t="s">
        <v>116</v>
      </c>
      <c r="G81" s="18">
        <v>0</v>
      </c>
      <c r="H81" t="s">
        <v>395</v>
      </c>
      <c r="I81" s="17" t="e">
        <f t="shared" si="2"/>
        <v>#VALUE!</v>
      </c>
    </row>
    <row r="82" spans="1:9" ht="26.45" customHeight="1" x14ac:dyDescent="0.15">
      <c r="A82" s="19" t="s">
        <v>302</v>
      </c>
      <c r="B82" s="19" t="s">
        <v>181</v>
      </c>
      <c r="C82" s="18" t="s">
        <v>52</v>
      </c>
      <c r="D82" s="18" t="s">
        <v>53</v>
      </c>
      <c r="E82" s="18" t="s">
        <v>57</v>
      </c>
      <c r="F82" s="18" t="s">
        <v>448</v>
      </c>
      <c r="G82" s="18">
        <v>10</v>
      </c>
      <c r="H82" t="s">
        <v>396</v>
      </c>
      <c r="I82" s="17" t="e">
        <f t="shared" si="2"/>
        <v>#VALUE!</v>
      </c>
    </row>
    <row r="83" spans="1:9" ht="26.45" customHeight="1" x14ac:dyDescent="0.15">
      <c r="A83" s="19" t="s">
        <v>303</v>
      </c>
      <c r="B83" s="19" t="s">
        <v>182</v>
      </c>
      <c r="C83" s="18" t="s">
        <v>52</v>
      </c>
      <c r="D83" s="18" t="s">
        <v>53</v>
      </c>
      <c r="E83" s="18" t="s">
        <v>448</v>
      </c>
      <c r="F83" s="18" t="s">
        <v>57</v>
      </c>
      <c r="G83" s="18">
        <v>0</v>
      </c>
      <c r="H83" t="s">
        <v>397</v>
      </c>
      <c r="I83" s="17" t="e">
        <f t="shared" si="2"/>
        <v>#VALUE!</v>
      </c>
    </row>
    <row r="84" spans="1:9" ht="26.45" customHeight="1" x14ac:dyDescent="0.15">
      <c r="A84" s="19" t="s">
        <v>304</v>
      </c>
      <c r="B84" s="19" t="s">
        <v>183</v>
      </c>
      <c r="C84" s="18" t="s">
        <v>47</v>
      </c>
      <c r="D84" s="18" t="s">
        <v>42</v>
      </c>
      <c r="E84" s="18" t="s">
        <v>53</v>
      </c>
      <c r="F84" s="18" t="s">
        <v>42</v>
      </c>
      <c r="G84" s="18">
        <v>24</v>
      </c>
      <c r="H84" t="s">
        <v>398</v>
      </c>
      <c r="I84" s="17" t="e">
        <f t="shared" si="2"/>
        <v>#VALUE!</v>
      </c>
    </row>
    <row r="85" spans="1:9" ht="26.45" customHeight="1" x14ac:dyDescent="0.15">
      <c r="A85" s="19" t="s">
        <v>305</v>
      </c>
      <c r="B85" s="19" t="s">
        <v>184</v>
      </c>
      <c r="C85" s="18" t="s">
        <v>185</v>
      </c>
      <c r="D85" s="18" t="s">
        <v>53</v>
      </c>
      <c r="E85" s="18" t="s">
        <v>57</v>
      </c>
      <c r="F85" s="18" t="s">
        <v>448</v>
      </c>
      <c r="G85" s="18">
        <v>20</v>
      </c>
      <c r="H85" t="s">
        <v>399</v>
      </c>
      <c r="I85" s="17" t="e">
        <f t="shared" si="2"/>
        <v>#VALUE!</v>
      </c>
    </row>
    <row r="86" spans="1:9" ht="26.45" customHeight="1" x14ac:dyDescent="0.15">
      <c r="A86" s="19" t="s">
        <v>306</v>
      </c>
      <c r="B86" s="19" t="s">
        <v>186</v>
      </c>
      <c r="C86" s="18" t="s">
        <v>52</v>
      </c>
      <c r="D86" s="18" t="s">
        <v>53</v>
      </c>
      <c r="E86" s="18" t="s">
        <v>57</v>
      </c>
      <c r="F86" s="18" t="s">
        <v>448</v>
      </c>
      <c r="G86" s="18">
        <v>0</v>
      </c>
      <c r="H86" t="s">
        <v>400</v>
      </c>
      <c r="I86" s="17" t="e">
        <f t="shared" si="2"/>
        <v>#VALUE!</v>
      </c>
    </row>
    <row r="87" spans="1:9" ht="26.45" customHeight="1" x14ac:dyDescent="0.15">
      <c r="A87" s="19" t="s">
        <v>307</v>
      </c>
      <c r="B87" s="19" t="s">
        <v>187</v>
      </c>
      <c r="C87" s="18" t="s">
        <v>53</v>
      </c>
      <c r="D87" s="18" t="s">
        <v>53</v>
      </c>
      <c r="E87" s="18" t="s">
        <v>448</v>
      </c>
      <c r="F87" s="18" t="s">
        <v>62</v>
      </c>
      <c r="G87" s="18">
        <v>0</v>
      </c>
      <c r="H87" t="s">
        <v>401</v>
      </c>
      <c r="I87" s="17" t="e">
        <f t="shared" si="2"/>
        <v>#VALUE!</v>
      </c>
    </row>
    <row r="88" spans="1:9" ht="26.45" customHeight="1" x14ac:dyDescent="0.15">
      <c r="A88" s="19" t="s">
        <v>308</v>
      </c>
      <c r="B88" s="19" t="s">
        <v>188</v>
      </c>
      <c r="C88" s="18" t="s">
        <v>77</v>
      </c>
      <c r="D88" s="18" t="s">
        <v>53</v>
      </c>
      <c r="E88" s="18" t="s">
        <v>175</v>
      </c>
      <c r="F88" s="18" t="s">
        <v>116</v>
      </c>
      <c r="G88" s="18">
        <v>0</v>
      </c>
      <c r="H88" t="s">
        <v>402</v>
      </c>
      <c r="I88" s="17" t="e">
        <f t="shared" si="2"/>
        <v>#VALUE!</v>
      </c>
    </row>
    <row r="89" spans="1:9" ht="26.45" customHeight="1" x14ac:dyDescent="0.15">
      <c r="A89" s="19" t="s">
        <v>309</v>
      </c>
      <c r="B89" s="19" t="s">
        <v>189</v>
      </c>
      <c r="C89" s="18" t="s">
        <v>190</v>
      </c>
      <c r="D89" s="18" t="s">
        <v>53</v>
      </c>
      <c r="E89" s="18" t="s">
        <v>62</v>
      </c>
      <c r="F89" s="18" t="s">
        <v>57</v>
      </c>
      <c r="G89" s="18">
        <v>10</v>
      </c>
      <c r="H89" t="s">
        <v>403</v>
      </c>
      <c r="I89" s="17" t="e">
        <f t="shared" si="2"/>
        <v>#VALUE!</v>
      </c>
    </row>
    <row r="90" spans="1:9" ht="26.45" customHeight="1" x14ac:dyDescent="0.15">
      <c r="A90" s="19" t="s">
        <v>310</v>
      </c>
      <c r="B90" s="19" t="s">
        <v>191</v>
      </c>
      <c r="C90" s="18" t="s">
        <v>95</v>
      </c>
      <c r="D90" s="18" t="s">
        <v>53</v>
      </c>
      <c r="E90" s="18" t="s">
        <v>57</v>
      </c>
      <c r="F90" s="18" t="s">
        <v>62</v>
      </c>
      <c r="G90" s="18">
        <v>0</v>
      </c>
      <c r="H90" t="s">
        <v>404</v>
      </c>
      <c r="I90" s="17" t="e">
        <f t="shared" si="2"/>
        <v>#VALUE!</v>
      </c>
    </row>
    <row r="91" spans="1:9" ht="26.45" customHeight="1" x14ac:dyDescent="0.15">
      <c r="A91" s="19" t="s">
        <v>311</v>
      </c>
      <c r="B91" s="19" t="s">
        <v>192</v>
      </c>
      <c r="C91" s="18" t="s">
        <v>95</v>
      </c>
      <c r="D91" s="18" t="s">
        <v>53</v>
      </c>
      <c r="E91" s="18" t="s">
        <v>57</v>
      </c>
      <c r="F91" s="18" t="s">
        <v>62</v>
      </c>
      <c r="G91" s="18">
        <v>0</v>
      </c>
      <c r="H91" t="s">
        <v>405</v>
      </c>
      <c r="I91" s="17" t="e">
        <f t="shared" si="2"/>
        <v>#VALUE!</v>
      </c>
    </row>
    <row r="92" spans="1:9" ht="26.45" customHeight="1" x14ac:dyDescent="0.15">
      <c r="A92" s="19" t="s">
        <v>312</v>
      </c>
      <c r="B92" s="19" t="s">
        <v>193</v>
      </c>
      <c r="C92" s="18" t="s">
        <v>129</v>
      </c>
      <c r="D92" s="18" t="s">
        <v>53</v>
      </c>
      <c r="E92" s="18" t="s">
        <v>57</v>
      </c>
      <c r="F92" s="18" t="s">
        <v>62</v>
      </c>
      <c r="G92" s="18">
        <v>10</v>
      </c>
      <c r="H92" t="s">
        <v>406</v>
      </c>
      <c r="I92" s="17" t="e">
        <f t="shared" si="2"/>
        <v>#VALUE!</v>
      </c>
    </row>
    <row r="93" spans="1:9" ht="26.45" customHeight="1" x14ac:dyDescent="0.15">
      <c r="A93" s="19" t="s">
        <v>313</v>
      </c>
      <c r="B93" s="19" t="s">
        <v>194</v>
      </c>
      <c r="C93" s="18" t="s">
        <v>152</v>
      </c>
      <c r="D93" s="18" t="s">
        <v>53</v>
      </c>
      <c r="E93" s="18" t="s">
        <v>42</v>
      </c>
      <c r="F93" s="18" t="s">
        <v>50</v>
      </c>
      <c r="G93" s="18">
        <v>0</v>
      </c>
      <c r="H93" t="s">
        <v>407</v>
      </c>
      <c r="I93" s="17" t="e">
        <f t="shared" si="2"/>
        <v>#VALUE!</v>
      </c>
    </row>
    <row r="94" spans="1:9" ht="26.45" customHeight="1" x14ac:dyDescent="0.15">
      <c r="A94" s="19" t="s">
        <v>314</v>
      </c>
      <c r="B94" s="19" t="s">
        <v>195</v>
      </c>
      <c r="C94" s="18" t="s">
        <v>196</v>
      </c>
      <c r="D94" s="18" t="s">
        <v>50</v>
      </c>
      <c r="E94" s="18" t="s">
        <v>50</v>
      </c>
      <c r="F94" s="18" t="s">
        <v>53</v>
      </c>
      <c r="G94" s="18">
        <v>44</v>
      </c>
      <c r="H94" t="s">
        <v>408</v>
      </c>
      <c r="I94" s="17" t="e">
        <f t="shared" si="2"/>
        <v>#VALUE!</v>
      </c>
    </row>
    <row r="95" spans="1:9" ht="26.45" customHeight="1" x14ac:dyDescent="0.15">
      <c r="A95" s="19" t="s">
        <v>315</v>
      </c>
      <c r="B95" s="19" t="s">
        <v>197</v>
      </c>
      <c r="C95" s="18" t="s">
        <v>185</v>
      </c>
      <c r="D95" s="18" t="s">
        <v>53</v>
      </c>
      <c r="E95" s="18" t="s">
        <v>448</v>
      </c>
      <c r="F95" s="18" t="s">
        <v>62</v>
      </c>
      <c r="G95" s="18">
        <v>20</v>
      </c>
      <c r="H95" t="s">
        <v>482</v>
      </c>
      <c r="I95" s="17" t="e">
        <f t="shared" si="2"/>
        <v>#VALUE!</v>
      </c>
    </row>
    <row r="96" spans="1:9" ht="26.45" customHeight="1" x14ac:dyDescent="0.15">
      <c r="A96" s="19" t="s">
        <v>316</v>
      </c>
      <c r="B96" s="19" t="s">
        <v>198</v>
      </c>
      <c r="C96" s="18" t="s">
        <v>123</v>
      </c>
      <c r="D96" s="18" t="s">
        <v>50</v>
      </c>
      <c r="E96" s="18" t="s">
        <v>50</v>
      </c>
      <c r="F96" s="18" t="s">
        <v>53</v>
      </c>
      <c r="G96" s="18">
        <v>20</v>
      </c>
      <c r="H96" t="s">
        <v>409</v>
      </c>
      <c r="I96" s="17" t="e">
        <f t="shared" si="2"/>
        <v>#VALUE!</v>
      </c>
    </row>
    <row r="97" spans="1:9" ht="26.45" customHeight="1" x14ac:dyDescent="0.15">
      <c r="A97" s="19" t="s">
        <v>317</v>
      </c>
      <c r="B97" s="19" t="s">
        <v>199</v>
      </c>
      <c r="C97" s="18" t="s">
        <v>77</v>
      </c>
      <c r="D97" s="18" t="s">
        <v>53</v>
      </c>
      <c r="E97" s="18" t="s">
        <v>175</v>
      </c>
      <c r="F97" s="18" t="s">
        <v>116</v>
      </c>
      <c r="G97" s="18">
        <v>6</v>
      </c>
      <c r="H97" t="s">
        <v>410</v>
      </c>
      <c r="I97" s="17" t="e">
        <f t="shared" si="2"/>
        <v>#VALUE!</v>
      </c>
    </row>
    <row r="98" spans="1:9" ht="26.45" customHeight="1" x14ac:dyDescent="0.15">
      <c r="A98" s="19" t="s">
        <v>318</v>
      </c>
      <c r="B98" s="19" t="s">
        <v>200</v>
      </c>
      <c r="C98" s="18" t="s">
        <v>167</v>
      </c>
      <c r="D98" s="18" t="s">
        <v>53</v>
      </c>
      <c r="E98" s="18" t="s">
        <v>42</v>
      </c>
      <c r="F98" s="18" t="s">
        <v>50</v>
      </c>
      <c r="G98" s="18">
        <v>20</v>
      </c>
      <c r="H98" t="s">
        <v>411</v>
      </c>
      <c r="I98" s="17" t="e">
        <f t="shared" si="2"/>
        <v>#VALUE!</v>
      </c>
    </row>
    <row r="99" spans="1:9" ht="26.45" customHeight="1" x14ac:dyDescent="0.15">
      <c r="A99" s="19" t="s">
        <v>319</v>
      </c>
      <c r="B99" s="19" t="s">
        <v>201</v>
      </c>
      <c r="C99" s="18" t="s">
        <v>145</v>
      </c>
      <c r="D99" s="18" t="s">
        <v>53</v>
      </c>
      <c r="E99" s="18" t="s">
        <v>448</v>
      </c>
      <c r="F99" s="18" t="s">
        <v>57</v>
      </c>
      <c r="G99" s="18">
        <v>10</v>
      </c>
      <c r="H99" t="s">
        <v>412</v>
      </c>
      <c r="I99" s="17" t="e">
        <f t="shared" si="2"/>
        <v>#VALUE!</v>
      </c>
    </row>
    <row r="100" spans="1:9" ht="26.45" customHeight="1" x14ac:dyDescent="0.15">
      <c r="A100" s="19" t="s">
        <v>320</v>
      </c>
      <c r="B100" s="19" t="s">
        <v>202</v>
      </c>
      <c r="C100" s="18" t="s">
        <v>452</v>
      </c>
      <c r="D100" s="18" t="s">
        <v>53</v>
      </c>
      <c r="E100" s="18" t="s">
        <v>62</v>
      </c>
      <c r="F100" s="18" t="s">
        <v>53</v>
      </c>
      <c r="G100" s="18">
        <v>10</v>
      </c>
      <c r="H100" t="s">
        <v>483</v>
      </c>
      <c r="I100" s="17" t="e">
        <f t="shared" si="2"/>
        <v>#VALUE!</v>
      </c>
    </row>
    <row r="101" spans="1:9" ht="26.45" customHeight="1" x14ac:dyDescent="0.15">
      <c r="A101" s="19" t="s">
        <v>321</v>
      </c>
      <c r="B101" s="19" t="s">
        <v>203</v>
      </c>
      <c r="C101" s="18" t="s">
        <v>172</v>
      </c>
      <c r="D101" s="18" t="s">
        <v>53</v>
      </c>
      <c r="E101" s="18" t="s">
        <v>42</v>
      </c>
      <c r="F101" s="18" t="s">
        <v>50</v>
      </c>
      <c r="G101" s="18">
        <v>0</v>
      </c>
      <c r="H101" t="s">
        <v>413</v>
      </c>
      <c r="I101" s="17" t="e">
        <f t="shared" si="2"/>
        <v>#VALUE!</v>
      </c>
    </row>
    <row r="102" spans="1:9" ht="26.45" customHeight="1" x14ac:dyDescent="0.15">
      <c r="A102" s="19" t="s">
        <v>322</v>
      </c>
      <c r="B102" s="19" t="s">
        <v>204</v>
      </c>
      <c r="C102" s="18" t="s">
        <v>49</v>
      </c>
      <c r="D102" s="18" t="s">
        <v>50</v>
      </c>
      <c r="E102" s="18" t="s">
        <v>62</v>
      </c>
      <c r="F102" s="18" t="s">
        <v>57</v>
      </c>
      <c r="G102" s="18">
        <v>0</v>
      </c>
      <c r="H102" t="s">
        <v>414</v>
      </c>
      <c r="I102" s="17" t="e">
        <f t="shared" si="2"/>
        <v>#VALUE!</v>
      </c>
    </row>
    <row r="103" spans="1:9" ht="26.45" customHeight="1" x14ac:dyDescent="0.15">
      <c r="A103" s="19" t="s">
        <v>323</v>
      </c>
      <c r="B103" s="19" t="s">
        <v>205</v>
      </c>
      <c r="C103" s="18" t="s">
        <v>55</v>
      </c>
      <c r="D103" s="18" t="s">
        <v>53</v>
      </c>
      <c r="E103" s="18" t="s">
        <v>42</v>
      </c>
      <c r="F103" s="18" t="s">
        <v>110</v>
      </c>
      <c r="G103" s="18">
        <v>40</v>
      </c>
      <c r="H103" t="s">
        <v>415</v>
      </c>
      <c r="I103" s="17" t="e">
        <f t="shared" si="2"/>
        <v>#VALUE!</v>
      </c>
    </row>
    <row r="104" spans="1:9" ht="26.45" customHeight="1" x14ac:dyDescent="0.15">
      <c r="A104" s="19" t="s">
        <v>324</v>
      </c>
      <c r="B104" s="19" t="s">
        <v>206</v>
      </c>
      <c r="C104" s="18" t="s">
        <v>123</v>
      </c>
      <c r="D104" s="18" t="s">
        <v>50</v>
      </c>
      <c r="E104" s="18" t="s">
        <v>50</v>
      </c>
      <c r="F104" s="18" t="s">
        <v>53</v>
      </c>
      <c r="G104" s="18">
        <v>15</v>
      </c>
      <c r="H104" t="s">
        <v>416</v>
      </c>
      <c r="I104" s="17" t="e">
        <f t="shared" si="2"/>
        <v>#VALUE!</v>
      </c>
    </row>
    <row r="105" spans="1:9" ht="26.45" customHeight="1" x14ac:dyDescent="0.15">
      <c r="A105" s="19" t="s">
        <v>325</v>
      </c>
      <c r="B105" s="19" t="s">
        <v>207</v>
      </c>
      <c r="C105" s="18" t="s">
        <v>208</v>
      </c>
      <c r="D105" s="18" t="s">
        <v>50</v>
      </c>
      <c r="E105" s="18" t="s">
        <v>53</v>
      </c>
      <c r="F105" s="18" t="s">
        <v>50</v>
      </c>
      <c r="G105" s="18">
        <v>20</v>
      </c>
      <c r="H105" t="s">
        <v>417</v>
      </c>
      <c r="I105" s="17" t="e">
        <f t="shared" si="2"/>
        <v>#VALUE!</v>
      </c>
    </row>
    <row r="106" spans="1:9" ht="26.45" customHeight="1" x14ac:dyDescent="0.15">
      <c r="A106" s="19" t="s">
        <v>326</v>
      </c>
      <c r="B106" s="19" t="s">
        <v>209</v>
      </c>
      <c r="C106" s="18" t="s">
        <v>57</v>
      </c>
      <c r="D106" s="18" t="s">
        <v>53</v>
      </c>
      <c r="E106" s="18" t="s">
        <v>62</v>
      </c>
      <c r="F106" s="18" t="s">
        <v>57</v>
      </c>
      <c r="G106" s="18">
        <v>2</v>
      </c>
      <c r="H106" t="s">
        <v>484</v>
      </c>
      <c r="I106" s="17" t="e">
        <f t="shared" si="2"/>
        <v>#VALUE!</v>
      </c>
    </row>
    <row r="107" spans="1:9" ht="26.45" customHeight="1" x14ac:dyDescent="0.15">
      <c r="A107" s="19" t="s">
        <v>327</v>
      </c>
      <c r="B107" s="19" t="s">
        <v>210</v>
      </c>
      <c r="C107" s="18" t="s">
        <v>177</v>
      </c>
      <c r="D107" s="18" t="s">
        <v>53</v>
      </c>
      <c r="E107" s="18" t="s">
        <v>62</v>
      </c>
      <c r="F107" s="18" t="s">
        <v>57</v>
      </c>
      <c r="G107" s="18">
        <v>0</v>
      </c>
      <c r="H107" t="s">
        <v>418</v>
      </c>
      <c r="I107" s="17" t="e">
        <f t="shared" si="2"/>
        <v>#VALUE!</v>
      </c>
    </row>
    <row r="108" spans="1:9" ht="26.45" customHeight="1" x14ac:dyDescent="0.15">
      <c r="A108" s="19" t="s">
        <v>328</v>
      </c>
      <c r="B108" s="19" t="s">
        <v>211</v>
      </c>
      <c r="C108" s="18" t="s">
        <v>49</v>
      </c>
      <c r="D108" s="18" t="s">
        <v>50</v>
      </c>
      <c r="E108" s="18" t="s">
        <v>57</v>
      </c>
      <c r="F108" s="18" t="s">
        <v>62</v>
      </c>
      <c r="G108" s="18">
        <v>5</v>
      </c>
      <c r="H108" t="s">
        <v>419</v>
      </c>
      <c r="I108" s="17" t="e">
        <f t="shared" si="2"/>
        <v>#VALUE!</v>
      </c>
    </row>
    <row r="109" spans="1:9" ht="26.45" customHeight="1" x14ac:dyDescent="0.15">
      <c r="A109" s="19" t="s">
        <v>329</v>
      </c>
      <c r="B109" s="19" t="s">
        <v>212</v>
      </c>
      <c r="C109" s="18" t="s">
        <v>129</v>
      </c>
      <c r="D109" s="18" t="s">
        <v>53</v>
      </c>
      <c r="E109" s="18" t="s">
        <v>57</v>
      </c>
      <c r="F109" s="18" t="s">
        <v>62</v>
      </c>
      <c r="G109" s="18">
        <v>9</v>
      </c>
      <c r="H109" t="s">
        <v>485</v>
      </c>
      <c r="I109" s="17" t="e">
        <f t="shared" si="2"/>
        <v>#VALUE!</v>
      </c>
    </row>
    <row r="110" spans="1:9" ht="26.45" customHeight="1" x14ac:dyDescent="0.15">
      <c r="A110" s="19" t="s">
        <v>330</v>
      </c>
      <c r="B110" s="19" t="s">
        <v>213</v>
      </c>
      <c r="C110" s="18" t="s">
        <v>214</v>
      </c>
      <c r="D110" s="18" t="s">
        <v>53</v>
      </c>
      <c r="E110" s="18" t="s">
        <v>42</v>
      </c>
      <c r="F110" s="18" t="s">
        <v>42</v>
      </c>
      <c r="G110" s="18">
        <v>0</v>
      </c>
      <c r="H110" t="s">
        <v>420</v>
      </c>
      <c r="I110" s="17" t="e">
        <f t="shared" si="2"/>
        <v>#VALUE!</v>
      </c>
    </row>
    <row r="111" spans="1:9" ht="26.45" customHeight="1" x14ac:dyDescent="0.15">
      <c r="A111" s="19" t="s">
        <v>331</v>
      </c>
      <c r="B111" s="19" t="s">
        <v>215</v>
      </c>
      <c r="C111" s="18" t="s">
        <v>172</v>
      </c>
      <c r="D111" s="18" t="s">
        <v>50</v>
      </c>
      <c r="E111" s="18" t="s">
        <v>42</v>
      </c>
      <c r="F111" s="18" t="s">
        <v>53</v>
      </c>
      <c r="G111" s="18">
        <v>0</v>
      </c>
      <c r="H111" t="s">
        <v>421</v>
      </c>
      <c r="I111" s="17" t="e">
        <f t="shared" si="2"/>
        <v>#VALUE!</v>
      </c>
    </row>
    <row r="112" spans="1:9" ht="26.45" customHeight="1" x14ac:dyDescent="0.15">
      <c r="A112" s="19" t="s">
        <v>332</v>
      </c>
      <c r="B112" s="19" t="s">
        <v>216</v>
      </c>
      <c r="C112" s="18" t="s">
        <v>49</v>
      </c>
      <c r="D112" s="18" t="s">
        <v>50</v>
      </c>
      <c r="E112" s="18" t="s">
        <v>62</v>
      </c>
      <c r="F112" s="18" t="s">
        <v>57</v>
      </c>
      <c r="G112" s="18">
        <v>5</v>
      </c>
      <c r="H112" t="s">
        <v>486</v>
      </c>
      <c r="I112" s="17" t="e">
        <f t="shared" si="2"/>
        <v>#VALUE!</v>
      </c>
    </row>
    <row r="113" spans="1:9" ht="26.45" customHeight="1" x14ac:dyDescent="0.15">
      <c r="A113" s="19" t="s">
        <v>333</v>
      </c>
      <c r="B113" s="19" t="s">
        <v>217</v>
      </c>
      <c r="C113" s="18" t="s">
        <v>112</v>
      </c>
      <c r="D113" s="18" t="s">
        <v>53</v>
      </c>
      <c r="E113" s="18" t="s">
        <v>116</v>
      </c>
      <c r="F113" s="18" t="s">
        <v>175</v>
      </c>
      <c r="G113" s="18">
        <v>0</v>
      </c>
      <c r="H113" t="s">
        <v>422</v>
      </c>
      <c r="I113" s="17" t="e">
        <f t="shared" si="2"/>
        <v>#VALUE!</v>
      </c>
    </row>
    <row r="114" spans="1:9" ht="26.45" customHeight="1" x14ac:dyDescent="0.15">
      <c r="A114" s="19" t="s">
        <v>334</v>
      </c>
      <c r="B114" s="19" t="s">
        <v>218</v>
      </c>
      <c r="C114" s="18" t="s">
        <v>162</v>
      </c>
      <c r="D114" s="18" t="s">
        <v>53</v>
      </c>
      <c r="E114" s="18" t="s">
        <v>57</v>
      </c>
      <c r="F114" s="18" t="s">
        <v>62</v>
      </c>
      <c r="G114" s="18">
        <v>0</v>
      </c>
      <c r="H114" t="s">
        <v>423</v>
      </c>
      <c r="I114" s="17" t="e">
        <f t="shared" si="2"/>
        <v>#VALUE!</v>
      </c>
    </row>
    <row r="115" spans="1:9" ht="26.45" customHeight="1" x14ac:dyDescent="0.15">
      <c r="A115" s="19" t="s">
        <v>335</v>
      </c>
      <c r="B115" s="19" t="s">
        <v>219</v>
      </c>
      <c r="C115" s="18" t="s">
        <v>167</v>
      </c>
      <c r="D115" s="18" t="s">
        <v>50</v>
      </c>
      <c r="E115" s="18" t="s">
        <v>53</v>
      </c>
      <c r="F115" s="18" t="s">
        <v>42</v>
      </c>
      <c r="G115" s="18">
        <v>0</v>
      </c>
      <c r="H115" t="s">
        <v>424</v>
      </c>
      <c r="I115" s="17" t="e">
        <f t="shared" si="2"/>
        <v>#VALUE!</v>
      </c>
    </row>
    <row r="116" spans="1:9" ht="26.45" customHeight="1" x14ac:dyDescent="0.15">
      <c r="A116" s="19" t="s">
        <v>336</v>
      </c>
      <c r="B116" s="19" t="s">
        <v>220</v>
      </c>
      <c r="C116" s="18" t="s">
        <v>221</v>
      </c>
      <c r="D116" s="18" t="s">
        <v>50</v>
      </c>
      <c r="E116" s="18" t="s">
        <v>50</v>
      </c>
      <c r="F116" s="18" t="s">
        <v>53</v>
      </c>
      <c r="G116" s="18">
        <v>0</v>
      </c>
      <c r="H116" t="s">
        <v>425</v>
      </c>
      <c r="I116" s="17" t="e">
        <f t="shared" si="2"/>
        <v>#VALUE!</v>
      </c>
    </row>
    <row r="117" spans="1:9" ht="26.45" customHeight="1" x14ac:dyDescent="0.15">
      <c r="A117" s="19" t="s">
        <v>337</v>
      </c>
      <c r="B117" s="19" t="s">
        <v>222</v>
      </c>
      <c r="C117" s="18" t="s">
        <v>223</v>
      </c>
      <c r="D117" s="18" t="s">
        <v>53</v>
      </c>
      <c r="E117" s="18" t="s">
        <v>57</v>
      </c>
      <c r="F117" s="18" t="s">
        <v>62</v>
      </c>
      <c r="G117" s="18">
        <v>0</v>
      </c>
      <c r="H117" t="s">
        <v>426</v>
      </c>
      <c r="I117" s="17" t="e">
        <f t="shared" si="2"/>
        <v>#VALUE!</v>
      </c>
    </row>
    <row r="118" spans="1:9" ht="26.45" customHeight="1" x14ac:dyDescent="0.15">
      <c r="A118" s="19" t="s">
        <v>338</v>
      </c>
      <c r="B118" s="19" t="s">
        <v>224</v>
      </c>
      <c r="C118" s="18" t="s">
        <v>145</v>
      </c>
      <c r="D118" s="18" t="s">
        <v>53</v>
      </c>
      <c r="E118" s="18" t="s">
        <v>57</v>
      </c>
      <c r="F118" s="18" t="s">
        <v>448</v>
      </c>
      <c r="G118" s="18">
        <v>20</v>
      </c>
      <c r="H118" t="s">
        <v>487</v>
      </c>
      <c r="I118" s="17" t="e">
        <f t="shared" si="2"/>
        <v>#VALUE!</v>
      </c>
    </row>
    <row r="119" spans="1:9" ht="26.45" customHeight="1" x14ac:dyDescent="0.15">
      <c r="A119" s="19" t="s">
        <v>339</v>
      </c>
      <c r="B119" s="19" t="s">
        <v>225</v>
      </c>
      <c r="C119" s="18" t="s">
        <v>112</v>
      </c>
      <c r="D119" s="18" t="s">
        <v>53</v>
      </c>
      <c r="E119" s="18" t="s">
        <v>42</v>
      </c>
      <c r="F119" s="18" t="s">
        <v>50</v>
      </c>
      <c r="G119" s="18">
        <v>30</v>
      </c>
      <c r="H119" t="s">
        <v>427</v>
      </c>
      <c r="I119" s="17" t="e">
        <f t="shared" si="2"/>
        <v>#VALUE!</v>
      </c>
    </row>
    <row r="120" spans="1:9" ht="26.45" customHeight="1" x14ac:dyDescent="0.15">
      <c r="A120" s="19" t="s">
        <v>340</v>
      </c>
      <c r="B120" s="19" t="s">
        <v>226</v>
      </c>
      <c r="C120" s="18" t="s">
        <v>52</v>
      </c>
      <c r="D120" s="18" t="s">
        <v>53</v>
      </c>
      <c r="E120" s="18" t="s">
        <v>62</v>
      </c>
      <c r="F120" s="18" t="s">
        <v>448</v>
      </c>
      <c r="G120" s="18">
        <v>10</v>
      </c>
      <c r="H120" t="s">
        <v>428</v>
      </c>
      <c r="I120" s="17" t="e">
        <f t="shared" si="2"/>
        <v>#VALUE!</v>
      </c>
    </row>
    <row r="121" spans="1:9" ht="26.45" customHeight="1" x14ac:dyDescent="0.15">
      <c r="A121" s="19" t="s">
        <v>341</v>
      </c>
      <c r="B121" s="19" t="s">
        <v>227</v>
      </c>
      <c r="C121" s="18" t="s">
        <v>79</v>
      </c>
      <c r="D121" s="18" t="s">
        <v>42</v>
      </c>
      <c r="E121" s="18" t="s">
        <v>42</v>
      </c>
      <c r="F121" s="18" t="s">
        <v>53</v>
      </c>
      <c r="G121" s="18">
        <v>20</v>
      </c>
      <c r="H121" t="s">
        <v>429</v>
      </c>
      <c r="I121" s="17" t="e">
        <f t="shared" si="2"/>
        <v>#VALUE!</v>
      </c>
    </row>
    <row r="122" spans="1:9" ht="26.45" customHeight="1" x14ac:dyDescent="0.15">
      <c r="A122" s="19" t="s">
        <v>342</v>
      </c>
      <c r="B122" s="19" t="s">
        <v>228</v>
      </c>
      <c r="C122" s="18" t="s">
        <v>229</v>
      </c>
      <c r="D122" s="18" t="s">
        <v>53</v>
      </c>
      <c r="E122" s="18" t="s">
        <v>448</v>
      </c>
      <c r="F122" s="18" t="s">
        <v>57</v>
      </c>
      <c r="G122" s="18">
        <v>16</v>
      </c>
      <c r="H122" t="s">
        <v>430</v>
      </c>
      <c r="I122" s="17" t="e">
        <f t="shared" si="2"/>
        <v>#VALUE!</v>
      </c>
    </row>
    <row r="123" spans="1:9" ht="26.45" customHeight="1" x14ac:dyDescent="0.15">
      <c r="A123" s="19" t="s">
        <v>453</v>
      </c>
      <c r="B123" s="19" t="s">
        <v>454</v>
      </c>
      <c r="C123" s="18" t="s">
        <v>95</v>
      </c>
      <c r="D123" s="18" t="s">
        <v>53</v>
      </c>
      <c r="E123" s="18" t="s">
        <v>57</v>
      </c>
      <c r="F123" s="18" t="s">
        <v>53</v>
      </c>
      <c r="G123" s="18">
        <v>10</v>
      </c>
      <c r="H123" t="s">
        <v>488</v>
      </c>
      <c r="I123" s="17" t="e">
        <f t="shared" si="2"/>
        <v>#VALUE!</v>
      </c>
    </row>
    <row r="124" spans="1:9" ht="26.45" customHeight="1" x14ac:dyDescent="0.15">
      <c r="A124" s="19" t="s">
        <v>455</v>
      </c>
      <c r="B124" s="19" t="s">
        <v>456</v>
      </c>
      <c r="C124" s="18" t="s">
        <v>145</v>
      </c>
      <c r="D124" s="18" t="s">
        <v>53</v>
      </c>
      <c r="E124" s="18" t="s">
        <v>62</v>
      </c>
      <c r="F124" s="18" t="s">
        <v>448</v>
      </c>
      <c r="G124" s="18">
        <v>30</v>
      </c>
      <c r="H124" t="s">
        <v>489</v>
      </c>
      <c r="I124" s="17" t="e">
        <f t="shared" si="2"/>
        <v>#VALUE!</v>
      </c>
    </row>
    <row r="125" spans="1:9" ht="26.45" customHeight="1" x14ac:dyDescent="0.15">
      <c r="A125" s="19" t="s">
        <v>457</v>
      </c>
      <c r="B125" s="19" t="s">
        <v>458</v>
      </c>
      <c r="C125" s="18" t="s">
        <v>459</v>
      </c>
      <c r="D125" s="18" t="s">
        <v>53</v>
      </c>
      <c r="E125" s="18" t="s">
        <v>62</v>
      </c>
      <c r="F125" s="18" t="s">
        <v>448</v>
      </c>
      <c r="G125" s="18">
        <v>17</v>
      </c>
      <c r="H125" t="s">
        <v>490</v>
      </c>
      <c r="I125" s="17" t="e">
        <f t="shared" si="2"/>
        <v>#VALUE!</v>
      </c>
    </row>
    <row r="126" spans="1:9" ht="26.45" customHeight="1" x14ac:dyDescent="0.15">
      <c r="A126" s="19" t="s">
        <v>460</v>
      </c>
      <c r="B126" s="19" t="s">
        <v>461</v>
      </c>
      <c r="C126" s="18" t="s">
        <v>177</v>
      </c>
      <c r="D126" s="18" t="s">
        <v>53</v>
      </c>
      <c r="E126" s="18" t="s">
        <v>57</v>
      </c>
      <c r="F126" s="18" t="s">
        <v>448</v>
      </c>
      <c r="G126" s="18">
        <v>5</v>
      </c>
      <c r="H126" t="s">
        <v>491</v>
      </c>
      <c r="I126" s="17" t="e">
        <f t="shared" si="2"/>
        <v>#VALUE!</v>
      </c>
    </row>
  </sheetData>
  <dataConsolidate/>
  <phoneticPr fontId="1" type="noConversion"/>
  <hyperlinks>
    <hyperlink ref="A3" location="所有药品目录表!A1" display="A1001"/>
    <hyperlink ref="A4" location="所有药品目录表!A1" display="A1002"/>
    <hyperlink ref="A5" location="所有药品目录表!A1" display="A1003"/>
    <hyperlink ref="A6" location="所有药品目录表!A1" display="A1004"/>
    <hyperlink ref="A7" location="所有药品目录表!A1" display="A1005"/>
    <hyperlink ref="A8" location="所有药品目录表!A1" display="A1006"/>
    <hyperlink ref="A9" location="所有药品目录表!A1" display="A1007"/>
    <hyperlink ref="B3" location="冰硼散!A1" display="冰硼散"/>
    <hyperlink ref="B4" location="红霉素软膏!A1" display="红霉素软膏"/>
    <hyperlink ref="B5" location="红霉素眼膏!A1" display="红霉素眼膏"/>
    <hyperlink ref="B6" location="双氯芬酸二乙胺乳胶剂（扶他林）!A1" display="双氯芬酸二乙胺乳胶剂（扶他林）"/>
    <hyperlink ref="B7" location="复方黄连素!A1" display="复方黄连素"/>
    <hyperlink ref="B8" location="连花清瘟胶囊!A1" display="连花清瘟胶囊"/>
    <hyperlink ref="B9" location="马应龙麝香痔疮膏!A1" display="马应龙麝香痔疮膏"/>
    <hyperlink ref="A10" location="所有药品目录表!A1" display="A1008"/>
    <hyperlink ref="A12" location="所有药品目录表!A1" display="A1010"/>
    <hyperlink ref="A14" location="所有药品目录表!A1" display="A1012"/>
    <hyperlink ref="A16" location="所有药品目录表!A1" display="A1014"/>
    <hyperlink ref="A18" location="所有药品目录表!A1" display="A1016"/>
    <hyperlink ref="A20" location="所有药品目录表!A1" display="A1018"/>
    <hyperlink ref="A22" location="所有药品目录表!A1" display="A1020"/>
    <hyperlink ref="A24" location="所有药品目录表!A1" display="A1022"/>
    <hyperlink ref="A26" location="所有药品目录表!A1" display="A1024"/>
    <hyperlink ref="A28" location="所有药品目录表!A1" display="A1026"/>
    <hyperlink ref="A30" location="所有药品目录表!A1" display="A1028"/>
    <hyperlink ref="A32" location="所有药品目录表!A1" display="A1030"/>
    <hyperlink ref="A34" location="所有药品目录表!A1" display="A1032"/>
    <hyperlink ref="A36" location="所有药品目录表!A1" display="A1034"/>
    <hyperlink ref="A38" location="所有药品目录表!A1" display="A1036"/>
    <hyperlink ref="A40" location="所有药品目录表!A1" display="A1038"/>
    <hyperlink ref="A42" location="所有药品目录表!A1" display="A1040"/>
    <hyperlink ref="A44" location="所有药品目录表!A1" display="A1042"/>
    <hyperlink ref="A46" location="所有药品目录表!A1" display="A1044"/>
    <hyperlink ref="A48" location="所有药品目录表!A1" display="A1046"/>
    <hyperlink ref="A50" location="所有药品目录表!A1" display="A1048"/>
    <hyperlink ref="A52" location="所有药品目录表!A1" display="A1050"/>
    <hyperlink ref="A54" location="所有药品目录表!A1" display="A1052"/>
    <hyperlink ref="A56" location="所有药品目录表!A1" display="A1054"/>
    <hyperlink ref="A58" location="所有药品目录表!A1" display="A1056"/>
    <hyperlink ref="A60" location="所有药品目录表!A1" display="A1058"/>
    <hyperlink ref="A62" location="所有药品目录表!A1" display="A1060"/>
    <hyperlink ref="A64" location="所有药品目录表!A1" display="A1062"/>
    <hyperlink ref="A66" location="所有药品目录表!A1" display="A1064"/>
    <hyperlink ref="A68" location="所有药品目录表!A1" display="A1066"/>
    <hyperlink ref="A70" location="所有药品目录表!A1" display="A1068"/>
    <hyperlink ref="A72" location="所有药品目录表!A1" display="A1070"/>
    <hyperlink ref="A74" location="所有药品目录表!A1" display="A1072"/>
    <hyperlink ref="A76" location="所有药品目录表!A1" display="A1074"/>
    <hyperlink ref="A78" location="所有药品目录表!A1" display="A1076"/>
    <hyperlink ref="A80" location="所有药品目录表!A1" display="A1078"/>
    <hyperlink ref="A82" location="所有药品目录表!A1" display="A1080"/>
    <hyperlink ref="A84" location="所有药品目录表!A1" display="A1082"/>
    <hyperlink ref="A86" location="所有药品目录表!A1" display="A1084"/>
    <hyperlink ref="A88" location="所有药品目录表!A1" display="A1086"/>
    <hyperlink ref="A90" location="所有药品目录表!A1" display="A1088"/>
    <hyperlink ref="A92" location="所有药品目录表!A1" display="A1090"/>
    <hyperlink ref="A94" location="所有药品目录表!A1" display="A1092"/>
    <hyperlink ref="A96" location="所有药品目录表!A1" display="A1094"/>
    <hyperlink ref="A98" location="所有药品目录表!A1" display="A1096"/>
    <hyperlink ref="A100" location="所有药品目录表!A1" display="A1098"/>
    <hyperlink ref="A102" location="所有药品目录表!A1" display="A1100"/>
    <hyperlink ref="A104" location="所有药品目录表!A1" display="A1102"/>
    <hyperlink ref="A106" location="所有药品目录表!A1" display="A1104"/>
    <hyperlink ref="A108" location="所有药品目录表!A1" display="A1106"/>
    <hyperlink ref="A110" location="所有药品目录表!A1" display="A1108"/>
    <hyperlink ref="A112" location="所有药品目录表!A1" display="A1110"/>
    <hyperlink ref="A114" location="所有药品目录表!A1" display="A1112"/>
    <hyperlink ref="A116" location="所有药品目录表!A1" display="A1114"/>
    <hyperlink ref="A118" location="所有药品目录表!A1" display="A1116"/>
    <hyperlink ref="A120" location="所有药品目录表!A1" display="A1118"/>
    <hyperlink ref="A122" location="所有药品目录表!A1" display="A1120"/>
    <hyperlink ref="A11" location="所有药品目录表!A1" display="A1009"/>
    <hyperlink ref="A13" location="所有药品目录表!A1" display="A1011"/>
    <hyperlink ref="A15" location="所有药品目录表!A1" display="A1013"/>
    <hyperlink ref="A17" location="所有药品目录表!A1" display="A1015"/>
    <hyperlink ref="A19" location="所有药品目录表!A1" display="A1017"/>
    <hyperlink ref="A21" location="所有药品目录表!A1" display="A1019"/>
    <hyperlink ref="A23" location="所有药品目录表!A1" display="A1021"/>
    <hyperlink ref="A25" location="所有药品目录表!A1" display="A1023"/>
    <hyperlink ref="A27" location="所有药品目录表!A1" display="A1025"/>
    <hyperlink ref="A29" location="所有药品目录表!A1" display="A1027"/>
    <hyperlink ref="A31" location="所有药品目录表!A1" display="A1029"/>
    <hyperlink ref="A33" location="所有药品目录表!A1" display="A1031"/>
    <hyperlink ref="A35" location="所有药品目录表!A1" display="A1033"/>
    <hyperlink ref="A37" location="所有药品目录表!A1" display="A1035"/>
    <hyperlink ref="A39" location="所有药品目录表!A1" display="A1037"/>
    <hyperlink ref="A41" location="所有药品目录表!A1" display="A1039"/>
    <hyperlink ref="A43" location="所有药品目录表!A1" display="A1041"/>
    <hyperlink ref="A45" location="所有药品目录表!A1" display="A1043"/>
    <hyperlink ref="A47" location="所有药品目录表!A1" display="A1045"/>
    <hyperlink ref="A49" location="所有药品目录表!A1" display="A1047"/>
    <hyperlink ref="A51" location="所有药品目录表!A1" display="A1049"/>
    <hyperlink ref="A53" location="所有药品目录表!A1" display="A1051"/>
    <hyperlink ref="A55" location="所有药品目录表!A1" display="A1053"/>
    <hyperlink ref="A57" location="所有药品目录表!A1" display="A1055"/>
    <hyperlink ref="A59" location="所有药品目录表!A1" display="A1057"/>
    <hyperlink ref="A61" location="所有药品目录表!A1" display="A1059"/>
    <hyperlink ref="A63" location="所有药品目录表!A1" display="A1061"/>
    <hyperlink ref="A65" location="所有药品目录表!A1" display="A1063"/>
    <hyperlink ref="A67" location="所有药品目录表!A1" display="A1065"/>
    <hyperlink ref="A69" location="所有药品目录表!A1" display="A1067"/>
    <hyperlink ref="A71" location="所有药品目录表!A1" display="A1069"/>
    <hyperlink ref="A73" location="所有药品目录表!A1" display="A1071"/>
    <hyperlink ref="A75" location="所有药品目录表!A1" display="A1073"/>
    <hyperlink ref="A77" location="所有药品目录表!A1" display="A1075"/>
    <hyperlink ref="A79" location="所有药品目录表!A1" display="A1077"/>
    <hyperlink ref="A81" location="所有药品目录表!A1" display="A1079"/>
    <hyperlink ref="A83" location="所有药品目录表!A1" display="A1081"/>
    <hyperlink ref="A85" location="所有药品目录表!A1" display="A1083"/>
    <hyperlink ref="A87" location="所有药品目录表!A1" display="A1085"/>
    <hyperlink ref="A89" location="所有药品目录表!A1" display="A1087"/>
    <hyperlink ref="A91" location="所有药品目录表!A1" display="A1089"/>
    <hyperlink ref="A93" location="所有药品目录表!A1" display="A1091"/>
    <hyperlink ref="A95" location="所有药品目录表!A1" display="A1093"/>
    <hyperlink ref="A97" location="所有药品目录表!A1" display="A1095"/>
    <hyperlink ref="A99" location="所有药品目录表!A1" display="A1097"/>
    <hyperlink ref="A101" location="所有药品目录表!A1" display="A1099"/>
    <hyperlink ref="A103" location="所有药品目录表!A1" display="A1101"/>
    <hyperlink ref="A105" location="所有药品目录表!A1" display="A1103"/>
    <hyperlink ref="A107" location="所有药品目录表!A1" display="A1105"/>
    <hyperlink ref="A109" location="所有药品目录表!A1" display="A1107"/>
    <hyperlink ref="A111" location="所有药品目录表!A1" display="A1109"/>
    <hyperlink ref="A113" location="所有药品目录表!A1" display="A1111"/>
    <hyperlink ref="A115" location="所有药品目录表!A1" display="A1113"/>
    <hyperlink ref="A117" location="所有药品目录表!A1" display="A1115"/>
    <hyperlink ref="A119" location="所有药品目录表!A1" display="A1117"/>
    <hyperlink ref="A121" location="所有药品目录表!A1" display="A1119"/>
    <hyperlink ref="B10" location="麝香痔疮栓!A1" display="麝香痔疮栓"/>
    <hyperlink ref="B11" location="连花清瘟颗粒!A1" display="连花清瘟颗粒"/>
    <hyperlink ref="B12" location="呋麻滴鼻液!A1" display="呋麻滴鼻液"/>
    <hyperlink ref="B13" location="999胃泰胶囊!A1" display="999胃泰胶囊"/>
    <hyperlink ref="B14" location="依巴斯汀片!A1" display="依巴斯汀片"/>
    <hyperlink ref="B15" location="多潘立酮片!A1" display="多潘立酮片"/>
    <hyperlink ref="B16" location="蒙脱石散!A1" display="蒙脱石散"/>
    <hyperlink ref="B17" location="阿莫西林克拉维酸钾片!A1" display="阿莫西林克拉维酸钾片"/>
    <hyperlink ref="B18" location="左氧氟沙星片!A1" display="左氧氟沙星片"/>
    <hyperlink ref="B19" location="布洛芬缓释胶囊!A1" display="布洛芬缓释胶囊"/>
    <hyperlink ref="B20" location="罗红霉素胶囊!A1" display="罗红霉素胶囊"/>
    <hyperlink ref="B21" location="咳特灵片!A1" display="咳特灵片"/>
    <hyperlink ref="B22" location="甲硝唑芬布芬胶囊!A1" display="甲硝唑芬布芬胶囊"/>
    <hyperlink ref="B23" location="双氯芬酸钠缓释片!A1" display="双氯芬酸钠缓释片"/>
    <hyperlink ref="B24" location="鼻炎康片!A1" display="鼻炎康片"/>
    <hyperlink ref="B25" location="阿昔洛韦乳膏!A1" display="阿昔洛韦乳膏"/>
    <hyperlink ref="B26" location="氯雷他定片!A1" display="氯雷他定片"/>
    <hyperlink ref="B27" location="利巴韦林滴眼液!A1" display="利巴韦林滴眼液"/>
    <hyperlink ref="B28" location="复方酮康唑乳膏!A1" display="复方酮康唑乳膏"/>
    <hyperlink ref="B29" location="复方醋酸地塞米松乳膏!A1" display="复方醋酸地塞米松乳膏"/>
    <hyperlink ref="B30" location="复方倍氯米松樟脑乳膏!A1" display="复方倍氯米松樟脑乳膏"/>
    <hyperlink ref="B31" location="醋酸曲安奈德益康唑乳膏!A1" display="醋酸曲安奈德益康唑乳膏"/>
    <hyperlink ref="B32" location="丁酸氢化可的松乳膏（醋酸）!A1" display="丁酸氢化可的松乳膏（醋酸）"/>
    <hyperlink ref="B33" location=" 红花油!A1" display=" 红花油"/>
    <hyperlink ref="B34" location="清凉油!A1" display="清凉油"/>
    <hyperlink ref="B35" location="高山红景天口服液!A1" display="高山红景天口服液"/>
    <hyperlink ref="B36" location="风油精!A1" display="风油精"/>
    <hyperlink ref="B37" location="肠炎宁颗粒!A1" display="肠炎宁颗粒"/>
    <hyperlink ref="B38" location="注射用奥美拉唑纳!A1" display="注射用奥美拉唑纳"/>
    <hyperlink ref="B39" location="关节止痛膏!A1" display="关节止痛膏"/>
    <hyperlink ref="B40" location="季德胜蛇药片!A1" display="季德胜蛇药片"/>
    <hyperlink ref="B41" location="金嗓子喉片!A1" display="金嗓子喉片"/>
    <hyperlink ref="B42" location="炉甘石洗剂!A1" display="炉甘石洗剂"/>
    <hyperlink ref="B43" location="安神补脑液!A1" display="安神补脑液"/>
    <hyperlink ref="B44" location="创口贴!A1" display="创口贴"/>
    <hyperlink ref="B45" location="藿香正气口服液!A1" display="藿香正气口服液"/>
    <hyperlink ref="B46" location="健胃消食片!A1" display="健胃消食片"/>
    <hyperlink ref="B47" location="牛黄解毒片!A1" display="牛黄解毒片"/>
    <hyperlink ref="B48" location="奥美拉唑肠溶胶囊!A1" display="奥美拉唑肠溶胶囊"/>
    <hyperlink ref="B49" location="盐酸小檗碱!A1" display="盐酸小檗碱"/>
    <hyperlink ref="B50" location="风热感冒颗粒!A1" display="风热感冒颗粒"/>
    <hyperlink ref="B51" location="复方感冒灵颗粒!A1" display="复方感冒灵颗粒"/>
    <hyperlink ref="B52" location="云南白药气雾剂!A1" display="云南白药气雾剂"/>
    <hyperlink ref="B53" location="急支糖浆!A1" display="急支糖浆"/>
    <hyperlink ref="B54" location="麝香壮骨膏!A1" display="麝香壮骨膏"/>
    <hyperlink ref="B55" location="维生素C片!A1" display="维生素C片"/>
    <hyperlink ref="B56" location="醋酸地塞米松片!A1" display="醋酸地塞米松片"/>
    <hyperlink ref="B57" location="马来酸氯苯那敏!A1" display="马来酸氯苯那敏"/>
    <hyperlink ref="B58" location="磷酸奥司他韦颗粒!A1" display="磷酸奥司他韦颗粒"/>
    <hyperlink ref="B59" location="夏桑菊颗粒!A1" display="夏桑菊颗粒"/>
    <hyperlink ref="B60" location="云南白药膏!A1" display="云南白药膏"/>
    <hyperlink ref="B61" location="伤湿止痛膏!A1" display="伤湿止痛膏"/>
    <hyperlink ref="B62" location="复方酮康唑发用洗剂!A1" display="复方酮康唑发用洗剂"/>
    <hyperlink ref="B63" location="湿润烧伤膏!A1" display="湿润烧伤膏"/>
    <hyperlink ref="B64" location="复方甘草片!A1" display="复方甘草片"/>
    <hyperlink ref="B65" location="颠茄片!A1" display="颠茄片"/>
    <hyperlink ref="B66" location="罗通定片!A1" display="罗通定片"/>
    <hyperlink ref="B67" location="兰索拉唑肠溶胶囊!A1" display="兰索拉唑肠溶胶囊"/>
    <hyperlink ref="B68" location="头孢呋辛酯片!A1" display="头孢呋辛酯片"/>
    <hyperlink ref="B69" location="麻仁润肠丸!A1" display="麻仁润肠丸"/>
    <hyperlink ref="B70" location="头孢克圬分散片!A1" display="头孢克圬分散片"/>
    <hyperlink ref="B71" location="阿昔洛韦滴眼液!A1" display="阿昔洛韦滴眼液"/>
    <hyperlink ref="B72" location="苯溴马隆片!A1" display="苯溴马隆片"/>
    <hyperlink ref="B73" location="碳酸氢钠片!A1" display="碳酸氢钠片"/>
    <hyperlink ref="B74" location="口服补液盐散!A1" display="口服补液盐散"/>
    <hyperlink ref="B75" location="妥布霉素地塞米松滴眼液!A1" display="妥布霉素地塞米松滴眼液"/>
    <hyperlink ref="B76" location="塞来昔布胶囊!A1" display="塞来昔布胶囊"/>
    <hyperlink ref="B77" location="复方板蓝根颗粒!A1" display="复方板蓝根颗粒"/>
    <hyperlink ref="B78" location="维C银翘片!A1" display="维C银翘片"/>
    <hyperlink ref="B79" location="诺氟沙星胶囊!A1" display="诺氟沙星胶囊"/>
    <hyperlink ref="B80" location="强力枇杷露!A1" display="强力枇杷露"/>
    <hyperlink ref="B81" location="通宣理肺颗粒!A1" display="通宣理肺颗粒"/>
    <hyperlink ref="B82" location="人工牛黄甲硝唑胶囊!A1" display="人工牛黄甲硝唑胶囊"/>
    <hyperlink ref="B83" location="咽炎含片!A1" display="咽炎含片"/>
    <hyperlink ref="B84" location="硝酸咪康唑乳膏!A1" display="硝酸咪康唑乳膏"/>
    <hyperlink ref="B85" location="黄连上清片!A1" display="黄连上清片"/>
    <hyperlink ref="B86" location="维U颠茄铝镁片!A1" display="维U颠茄铝镁片"/>
    <hyperlink ref="B87" location="铝碳酸镁咀嚼片!A1" display="铝碳酸镁咀嚼片"/>
    <hyperlink ref="B88" location="止咳祛痰颗粒!A1" display="止咳祛痰颗粒"/>
    <hyperlink ref="B89" location="秋水仙碱片!A1" display="秋水仙碱片"/>
    <hyperlink ref="B90" location="阿奇霉素胶囊!A1" display="阿奇霉素胶囊"/>
    <hyperlink ref="B91" location="双氯芬酸钠胶囊!A1" display="双氯芬酸钠胶囊"/>
    <hyperlink ref="B92" location="三七伤药片!A1" display="三七伤药片"/>
    <hyperlink ref="B93" location="川百止痒洗剂!A1" display="川百止痒洗剂"/>
    <hyperlink ref="B94" location="川贝枇杷糖浆!A1" display="川贝枇杷糖浆"/>
    <hyperlink ref="B95" location="蒲地蓝消炎片!A1" display="蒲地蓝消炎片"/>
    <hyperlink ref="B96" location="盐酸氨溴索口服液!A1" display="盐酸氨溴索口服液"/>
    <hyperlink ref="B97" location="999胃泰颗粒!A1" display="999胃泰颗粒"/>
    <hyperlink ref="B98" location="色甘酸钠滴眼液!A1" display="色甘酸钠滴眼液"/>
    <hyperlink ref="B99" location="冰硼含片!A1" display="冰硼含片"/>
    <hyperlink ref="B100" location="孟鲁司特咀嚼片!A1" display="孟鲁司特咀嚼片"/>
    <hyperlink ref="B101" location="玻璃酸钠滴眼液!A1" display="玻璃酸钠滴眼液"/>
    <hyperlink ref="B102" location="复方感冒灵片!A1" display="复方感冒灵片"/>
    <hyperlink ref="B103" location="金银花口服液!A1" display="金银花口服液"/>
    <hyperlink ref="B104" location="聚维酮碘溶液!A1" display="聚维酮碘溶液"/>
    <hyperlink ref="B105" location="布洛芬缓释混悬液!A1" display="布洛芬缓释混悬液"/>
    <hyperlink ref="B106" location="维生素B12片!A1" display="维生素B12片"/>
    <hyperlink ref="B107" location="维生素E软胶囊!A1" display="维生素E软胶囊"/>
    <hyperlink ref="B108" location="复合维生素B片!A1" display="复合维生素B片"/>
    <hyperlink ref="B109" location="碳酸钙D3咀嚼片!A1" display="碳酸钙D3咀嚼片"/>
    <hyperlink ref="B110" location="外用溃疡散!A1" display="外用溃疡散"/>
    <hyperlink ref="B111" location="盐酸左氧氟沙星滴耳液!A1" display="盐酸左氧氟沙星滴耳液"/>
    <hyperlink ref="B112" location="多维元素片!A1" display="多维元素片"/>
    <hyperlink ref="B113" location="复方甘草口服液!A1" display="复方甘草口服液"/>
    <hyperlink ref="B114" location="氨酚伪麻那敏片!A1" display="氨酚伪麻那敏片"/>
    <hyperlink ref="B115" location="珍珠明目滴眼液!A1" display="珍珠明目滴眼液"/>
    <hyperlink ref="B116" location="复方氯已定含漱液!A1" display="复方氯已定含漱液"/>
    <hyperlink ref="B117" location="对乙酰氨基酚缓释片!A1" display="对乙酰氨基酚缓释片"/>
    <hyperlink ref="B118" location="氢溴酸右美沙芬片!A1" display="氢溴酸右美沙芬片"/>
    <hyperlink ref="B119" location="双黄连口服液!A1" display="双黄连口服液"/>
    <hyperlink ref="B120" location="复方氨酚烷胺片!A1" display="复方氨酚烷胺片"/>
    <hyperlink ref="B121" location="醋酸曲安奈德尿素软膏!A1" display="醋酸曲安奈德尿素软膏"/>
    <hyperlink ref="B122" location="鼻炎灵颗粒!A1" display="鼻炎灵颗粒"/>
    <hyperlink ref="A123" location="所有药品目录表!A1" display="A1121"/>
    <hyperlink ref="B123" location="磷酸奥司他韦胶囊!A1" display="磷酸奥司他韦胶囊"/>
    <hyperlink ref="A124" location="所有药品目录表!A1" display="A1122"/>
    <hyperlink ref="B124" location="地奥司明片!A1" display="地奥司明片"/>
    <hyperlink ref="A125" location="所有药品目录表!A1" display="A1123"/>
    <hyperlink ref="B125" location="西地碘含片!A1" display="西地碘含片"/>
    <hyperlink ref="A126" location="所有药品目录表!A1" display="A1124"/>
    <hyperlink ref="B126" location="盐酸氨基酸葡萄糖胶囊!A1" display="盐酸氨基酸葡萄糖胶囊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8" r:id="rId4" name="TextBox1"/>
      </mc:Fallback>
    </mc:AlternateContent>
    <mc:AlternateContent xmlns:mc="http://schemas.openxmlformats.org/markup-compatibility/2006">
      <mc:Choice Requires="x14">
        <control shapeId="1029" r:id="rId6" name="ListBox1">
          <controlPr defaultSize="0" autoLine="0" autoPict="0" r:id="rId7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6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029" r:id="rId6" name="ListBox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hisWorkbook.batcheGenSheetAndLianjie">
            <anchor moveWithCells="1" sizeWithCells="1">
              <from>
                <xdr:col>8</xdr:col>
                <xdr:colOff>19050</xdr:colOff>
                <xdr:row>0</xdr:row>
                <xdr:rowOff>57150</xdr:rowOff>
              </from>
              <to>
                <xdr:col>13</xdr:col>
                <xdr:colOff>76200</xdr:colOff>
                <xdr:row>0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刷新搜索码">
            <anchor moveWithCells="1" sizeWithCells="1">
              <from>
                <xdr:col>7</xdr:col>
                <xdr:colOff>47625</xdr:colOff>
                <xdr:row>0</xdr:row>
                <xdr:rowOff>38100</xdr:rowOff>
              </from>
              <to>
                <xdr:col>7</xdr:col>
                <xdr:colOff>1990725</xdr:colOff>
                <xdr:row>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micro就诊伤病员处置登记表">
            <anchor moveWithCells="1" sizeWithCells="1">
              <from>
                <xdr:col>3</xdr:col>
                <xdr:colOff>28575</xdr:colOff>
                <xdr:row>0</xdr:row>
                <xdr:rowOff>28575</xdr:rowOff>
              </from>
              <to>
                <xdr:col>4</xdr:col>
                <xdr:colOff>885825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earchMedic">
            <anchor moveWithCells="1" sizeWithCells="1">
              <from>
                <xdr:col>2</xdr:col>
                <xdr:colOff>66675</xdr:colOff>
                <xdr:row>0</xdr:row>
                <xdr:rowOff>38100</xdr:rowOff>
              </from>
              <to>
                <xdr:col>2</xdr:col>
                <xdr:colOff>1066800</xdr:colOff>
                <xdr:row>0</xdr:row>
                <xdr:rowOff>438150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gister1">
    <tabColor rgb="FF0070C0"/>
  </sheetPr>
  <dimension ref="A1:R368"/>
  <sheetViews>
    <sheetView zoomScale="85" zoomScaleNormal="85" workbookViewId="0">
      <selection activeCell="I10" sqref="I10"/>
    </sheetView>
  </sheetViews>
  <sheetFormatPr defaultColWidth="9" defaultRowHeight="16.5" x14ac:dyDescent="0.15"/>
  <cols>
    <col min="1" max="1" width="18.375" style="5" bestFit="1" customWidth="1"/>
    <col min="2" max="2" width="7.375" style="4" bestFit="1" customWidth="1"/>
    <col min="3" max="3" width="5.625" style="4" customWidth="1"/>
    <col min="4" max="4" width="4.875" style="4" customWidth="1"/>
    <col min="5" max="5" width="5.25" style="4" customWidth="1"/>
    <col min="6" max="6" width="5.375" style="4" customWidth="1"/>
    <col min="7" max="18" width="18.625" style="20" customWidth="1"/>
    <col min="19" max="16384" width="9" style="4"/>
  </cols>
  <sheetData>
    <row r="1" spans="1:18" ht="38.1" customHeight="1" x14ac:dyDescent="0.15"/>
    <row r="2" spans="1:18" ht="20.25" customHeight="1" x14ac:dyDescent="0.15">
      <c r="A2" s="10" t="s">
        <v>11</v>
      </c>
      <c r="B2" s="9" t="s">
        <v>12</v>
      </c>
      <c r="C2" s="9" t="s">
        <v>27</v>
      </c>
      <c r="D2" s="9" t="s">
        <v>24</v>
      </c>
      <c r="E2" s="9" t="s">
        <v>25</v>
      </c>
      <c r="F2" s="9" t="s">
        <v>26</v>
      </c>
      <c r="G2" s="9" t="s">
        <v>13</v>
      </c>
      <c r="H2" s="9" t="s">
        <v>14</v>
      </c>
      <c r="I2" s="9" t="s">
        <v>15</v>
      </c>
      <c r="J2" s="9" t="s">
        <v>16</v>
      </c>
      <c r="K2" s="9" t="s">
        <v>17</v>
      </c>
      <c r="L2" s="9" t="s">
        <v>18</v>
      </c>
      <c r="M2" s="9" t="s">
        <v>19</v>
      </c>
      <c r="N2" s="9" t="s">
        <v>19</v>
      </c>
      <c r="O2" s="9" t="s">
        <v>20</v>
      </c>
      <c r="P2" s="9" t="s">
        <v>21</v>
      </c>
      <c r="Q2" s="9" t="s">
        <v>22</v>
      </c>
      <c r="R2" s="9" t="s">
        <v>23</v>
      </c>
    </row>
    <row r="3" spans="1:18" ht="30" customHeight="1" x14ac:dyDescent="0.15">
      <c r="A3" s="11">
        <v>44864</v>
      </c>
      <c r="B3" s="12" t="s">
        <v>38</v>
      </c>
      <c r="C3" s="12"/>
      <c r="D3" s="12"/>
      <c r="E3" s="12"/>
      <c r="F3" s="12"/>
      <c r="G3" s="21" t="s">
        <v>492</v>
      </c>
      <c r="H3" s="21" t="s">
        <v>493</v>
      </c>
      <c r="I3" s="21" t="s">
        <v>494</v>
      </c>
      <c r="J3" s="21"/>
      <c r="K3" s="21"/>
      <c r="L3" s="21"/>
      <c r="M3" s="21"/>
      <c r="N3" s="21"/>
      <c r="O3" s="21"/>
      <c r="P3" s="21"/>
      <c r="Q3" s="21"/>
      <c r="R3" s="21"/>
    </row>
    <row r="4" spans="1:18" ht="30" customHeight="1" x14ac:dyDescent="0.15">
      <c r="A4" s="11">
        <v>44865</v>
      </c>
      <c r="B4" s="12" t="s">
        <v>39</v>
      </c>
      <c r="C4" s="12"/>
      <c r="D4" s="12"/>
      <c r="E4" s="12"/>
      <c r="F4" s="12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1:18" ht="30" customHeight="1" x14ac:dyDescent="0.15">
      <c r="A5" s="11">
        <v>44866</v>
      </c>
      <c r="B5" s="12" t="s">
        <v>65</v>
      </c>
      <c r="C5" s="12"/>
      <c r="D5" s="12"/>
      <c r="E5" s="12"/>
      <c r="F5" s="12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</row>
    <row r="6" spans="1:18" ht="30" customHeight="1" x14ac:dyDescent="0.15">
      <c r="A6" s="11">
        <v>44867</v>
      </c>
      <c r="B6" s="12" t="s">
        <v>66</v>
      </c>
      <c r="C6" s="12"/>
      <c r="D6" s="12"/>
      <c r="E6" s="12"/>
      <c r="F6" s="12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</row>
    <row r="7" spans="1:18" ht="30" customHeight="1" x14ac:dyDescent="0.15">
      <c r="A7" s="11">
        <v>44867</v>
      </c>
      <c r="B7" s="12" t="s">
        <v>67</v>
      </c>
      <c r="C7" s="12"/>
      <c r="D7" s="12"/>
      <c r="E7" s="12"/>
      <c r="F7" s="12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</row>
    <row r="8" spans="1:18" ht="20.25" customHeight="1" x14ac:dyDescent="0.15">
      <c r="A8" s="11"/>
      <c r="B8" s="12"/>
      <c r="C8" s="12"/>
      <c r="D8" s="12"/>
      <c r="E8" s="12"/>
      <c r="F8" s="12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</row>
    <row r="9" spans="1:18" ht="20.25" customHeight="1" x14ac:dyDescent="0.15">
      <c r="A9" s="11"/>
      <c r="B9" s="12"/>
      <c r="C9" s="12"/>
      <c r="D9" s="12"/>
      <c r="E9" s="12"/>
      <c r="F9" s="12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</row>
    <row r="10" spans="1:18" ht="20.25" customHeight="1" x14ac:dyDescent="0.15">
      <c r="A10" s="11"/>
      <c r="B10" s="12"/>
      <c r="C10" s="12"/>
      <c r="D10" s="12"/>
      <c r="E10" s="12"/>
      <c r="F10" s="12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</row>
    <row r="11" spans="1:18" ht="20.25" customHeight="1" x14ac:dyDescent="0.15">
      <c r="A11" s="11"/>
      <c r="B11" s="12"/>
      <c r="C11" s="12"/>
      <c r="D11" s="12"/>
      <c r="E11" s="12"/>
      <c r="F11" s="12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</row>
    <row r="12" spans="1:18" ht="20.25" customHeight="1" x14ac:dyDescent="0.15">
      <c r="A12" s="11"/>
      <c r="B12" s="12"/>
      <c r="C12" s="12"/>
      <c r="D12" s="12"/>
      <c r="E12" s="12"/>
      <c r="F12" s="12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</row>
    <row r="13" spans="1:18" ht="20.25" customHeight="1" x14ac:dyDescent="0.15">
      <c r="A13" s="11"/>
      <c r="B13" s="12"/>
      <c r="C13" s="12"/>
      <c r="D13" s="12"/>
      <c r="E13" s="12"/>
      <c r="F13" s="12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</row>
    <row r="14" spans="1:18" ht="20.25" customHeight="1" x14ac:dyDescent="0.15">
      <c r="A14" s="11"/>
      <c r="B14" s="12"/>
      <c r="C14" s="12"/>
      <c r="D14" s="12"/>
      <c r="E14" s="12"/>
      <c r="F14" s="12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</row>
    <row r="15" spans="1:18" ht="20.25" customHeight="1" x14ac:dyDescent="0.15">
      <c r="A15" s="11"/>
      <c r="B15" s="12"/>
      <c r="C15" s="12"/>
      <c r="D15" s="12"/>
      <c r="E15" s="12"/>
      <c r="F15" s="12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</row>
    <row r="16" spans="1:18" ht="20.25" customHeight="1" x14ac:dyDescent="0.15">
      <c r="A16" s="11"/>
      <c r="B16" s="12"/>
      <c r="C16" s="12"/>
      <c r="D16" s="12"/>
      <c r="E16" s="12"/>
      <c r="F16" s="12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</row>
    <row r="17" spans="1:18" ht="20.25" customHeight="1" x14ac:dyDescent="0.15">
      <c r="A17" s="11"/>
      <c r="B17" s="12"/>
      <c r="C17" s="12"/>
      <c r="D17" s="12"/>
      <c r="E17" s="12"/>
      <c r="F17" s="12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</row>
    <row r="18" spans="1:18" ht="20.25" customHeight="1" x14ac:dyDescent="0.15">
      <c r="A18" s="11"/>
      <c r="B18" s="12"/>
      <c r="C18" s="12"/>
      <c r="D18" s="12"/>
      <c r="E18" s="12"/>
      <c r="F18" s="12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</row>
    <row r="19" spans="1:18" ht="20.25" customHeight="1" x14ac:dyDescent="0.15">
      <c r="A19" s="11"/>
      <c r="B19" s="12"/>
      <c r="C19" s="12"/>
      <c r="D19" s="12"/>
      <c r="E19" s="12"/>
      <c r="F19" s="12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</row>
    <row r="20" spans="1:18" ht="20.25" customHeight="1" x14ac:dyDescent="0.15">
      <c r="A20" s="11"/>
      <c r="B20" s="12"/>
      <c r="C20" s="12"/>
      <c r="D20" s="12"/>
      <c r="E20" s="12"/>
      <c r="F20" s="12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</row>
    <row r="21" spans="1:18" ht="20.25" customHeight="1" x14ac:dyDescent="0.15">
      <c r="A21" s="11"/>
      <c r="B21" s="12"/>
      <c r="C21" s="12"/>
      <c r="D21" s="12"/>
      <c r="E21" s="12"/>
      <c r="F21" s="12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</row>
    <row r="22" spans="1:18" ht="20.25" customHeight="1" x14ac:dyDescent="0.15">
      <c r="A22" s="11"/>
      <c r="B22" s="12"/>
      <c r="C22" s="12"/>
      <c r="D22" s="12"/>
      <c r="E22" s="12"/>
      <c r="F22" s="12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</row>
    <row r="23" spans="1:18" ht="20.25" customHeight="1" x14ac:dyDescent="0.15">
      <c r="A23" s="11"/>
      <c r="B23" s="12"/>
      <c r="C23" s="12"/>
      <c r="D23" s="12"/>
      <c r="E23" s="12"/>
      <c r="F23" s="12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</row>
    <row r="24" spans="1:18" ht="20.25" customHeight="1" x14ac:dyDescent="0.15">
      <c r="A24" s="11"/>
      <c r="B24" s="12"/>
      <c r="C24" s="12"/>
      <c r="D24" s="12"/>
      <c r="E24" s="12"/>
      <c r="F24" s="12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</row>
    <row r="25" spans="1:18" ht="20.25" customHeight="1" x14ac:dyDescent="0.15">
      <c r="A25" s="11"/>
      <c r="B25" s="12"/>
      <c r="C25" s="12"/>
      <c r="D25" s="12"/>
      <c r="E25" s="12"/>
      <c r="F25" s="12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</row>
    <row r="26" spans="1:18" ht="20.25" customHeight="1" x14ac:dyDescent="0.15">
      <c r="A26" s="11"/>
      <c r="B26" s="12"/>
      <c r="C26" s="12"/>
      <c r="D26" s="12"/>
      <c r="E26" s="12"/>
      <c r="F26" s="12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</row>
    <row r="27" spans="1:18" ht="20.25" customHeight="1" x14ac:dyDescent="0.15">
      <c r="A27" s="11"/>
      <c r="B27" s="12"/>
      <c r="C27" s="12"/>
      <c r="D27" s="12"/>
      <c r="E27" s="12"/>
      <c r="F27" s="12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</row>
    <row r="28" spans="1:18" ht="20.25" customHeight="1" x14ac:dyDescent="0.15">
      <c r="A28" s="11"/>
      <c r="B28" s="12"/>
      <c r="C28" s="12"/>
      <c r="D28" s="12"/>
      <c r="E28" s="12"/>
      <c r="F28" s="12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</row>
    <row r="29" spans="1:18" ht="20.25" customHeight="1" x14ac:dyDescent="0.15">
      <c r="A29" s="11"/>
      <c r="B29" s="12"/>
      <c r="C29" s="12"/>
      <c r="D29" s="12"/>
      <c r="E29" s="12"/>
      <c r="F29" s="12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</row>
    <row r="30" spans="1:18" ht="20.25" customHeight="1" x14ac:dyDescent="0.15">
      <c r="A30" s="11"/>
      <c r="B30" s="12"/>
      <c r="C30" s="12"/>
      <c r="D30" s="12"/>
      <c r="E30" s="12"/>
      <c r="F30" s="12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</row>
    <row r="31" spans="1:18" ht="20.25" customHeight="1" x14ac:dyDescent="0.15">
      <c r="A31" s="11"/>
      <c r="B31" s="12"/>
      <c r="C31" s="12"/>
      <c r="D31" s="12"/>
      <c r="E31" s="12"/>
      <c r="F31" s="12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</row>
    <row r="32" spans="1:18" ht="20.25" customHeight="1" x14ac:dyDescent="0.15">
      <c r="A32" s="11"/>
      <c r="B32" s="12"/>
      <c r="C32" s="12"/>
      <c r="D32" s="12"/>
      <c r="E32" s="12"/>
      <c r="F32" s="12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</row>
    <row r="33" spans="1:18" ht="20.25" customHeight="1" x14ac:dyDescent="0.15">
      <c r="A33" s="11"/>
      <c r="B33" s="12"/>
      <c r="C33" s="12"/>
      <c r="D33" s="12"/>
      <c r="E33" s="12"/>
      <c r="F33" s="12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</row>
    <row r="34" spans="1:18" ht="20.25" customHeight="1" x14ac:dyDescent="0.15">
      <c r="A34" s="11"/>
      <c r="B34" s="12"/>
      <c r="C34" s="12"/>
      <c r="D34" s="12"/>
      <c r="E34" s="12"/>
      <c r="F34" s="12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</row>
    <row r="35" spans="1:18" ht="20.25" customHeight="1" x14ac:dyDescent="0.15">
      <c r="A35" s="11"/>
      <c r="B35" s="12"/>
      <c r="C35" s="12"/>
      <c r="D35" s="12"/>
      <c r="E35" s="12"/>
      <c r="F35" s="12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</row>
    <row r="36" spans="1:18" ht="20.25" customHeight="1" x14ac:dyDescent="0.15">
      <c r="A36" s="11"/>
      <c r="B36" s="12"/>
      <c r="C36" s="12"/>
      <c r="D36" s="12"/>
      <c r="E36" s="12"/>
      <c r="F36" s="12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</row>
    <row r="37" spans="1:18" ht="20.25" customHeight="1" x14ac:dyDescent="0.15">
      <c r="A37" s="11"/>
      <c r="B37" s="12"/>
      <c r="C37" s="12"/>
      <c r="D37" s="12"/>
      <c r="E37" s="12"/>
      <c r="F37" s="12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</row>
    <row r="38" spans="1:18" ht="20.25" customHeight="1" x14ac:dyDescent="0.15">
      <c r="A38" s="11"/>
      <c r="B38" s="12"/>
      <c r="C38" s="12"/>
      <c r="D38" s="12"/>
      <c r="E38" s="12"/>
      <c r="F38" s="12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</row>
    <row r="39" spans="1:18" ht="20.25" customHeight="1" x14ac:dyDescent="0.15">
      <c r="A39" s="11"/>
      <c r="B39" s="12"/>
      <c r="C39" s="12"/>
      <c r="D39" s="12"/>
      <c r="E39" s="12"/>
      <c r="F39" s="12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</row>
    <row r="40" spans="1:18" ht="20.25" customHeight="1" x14ac:dyDescent="0.15">
      <c r="A40" s="11"/>
      <c r="B40" s="12"/>
      <c r="C40" s="12"/>
      <c r="D40" s="12"/>
      <c r="E40" s="12"/>
      <c r="F40" s="12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</row>
    <row r="41" spans="1:18" ht="20.25" customHeight="1" x14ac:dyDescent="0.15">
      <c r="A41" s="11"/>
      <c r="B41" s="12"/>
      <c r="C41" s="12"/>
      <c r="D41" s="12"/>
      <c r="E41" s="12"/>
      <c r="F41" s="12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</row>
    <row r="42" spans="1:18" ht="20.25" customHeight="1" x14ac:dyDescent="0.15">
      <c r="A42" s="11"/>
      <c r="B42" s="12"/>
      <c r="C42" s="12"/>
      <c r="D42" s="12"/>
      <c r="E42" s="12"/>
      <c r="F42" s="12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</row>
    <row r="43" spans="1:18" ht="20.25" customHeight="1" x14ac:dyDescent="0.15">
      <c r="A43" s="11"/>
      <c r="B43" s="12"/>
      <c r="C43" s="12"/>
      <c r="D43" s="12"/>
      <c r="E43" s="12"/>
      <c r="F43" s="12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</row>
    <row r="44" spans="1:18" ht="20.25" customHeight="1" x14ac:dyDescent="0.15">
      <c r="A44" s="11"/>
      <c r="B44" s="12"/>
      <c r="C44" s="12"/>
      <c r="D44" s="12"/>
      <c r="E44" s="12"/>
      <c r="F44" s="12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</row>
    <row r="45" spans="1:18" ht="20.25" customHeight="1" x14ac:dyDescent="0.15">
      <c r="A45" s="11"/>
      <c r="B45" s="12"/>
      <c r="C45" s="12"/>
      <c r="D45" s="12"/>
      <c r="E45" s="12"/>
      <c r="F45" s="12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</row>
    <row r="46" spans="1:18" ht="20.25" customHeight="1" x14ac:dyDescent="0.15">
      <c r="A46" s="11"/>
      <c r="B46" s="12"/>
      <c r="C46" s="12"/>
      <c r="D46" s="12"/>
      <c r="E46" s="12"/>
      <c r="F46" s="12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</row>
    <row r="47" spans="1:18" ht="20.25" customHeight="1" x14ac:dyDescent="0.15">
      <c r="A47" s="11"/>
      <c r="B47" s="12"/>
      <c r="C47" s="12"/>
      <c r="D47" s="12"/>
      <c r="E47" s="12"/>
      <c r="F47" s="12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</row>
    <row r="48" spans="1:18" ht="20.25" customHeight="1" x14ac:dyDescent="0.15">
      <c r="A48" s="11"/>
      <c r="B48" s="12"/>
      <c r="C48" s="12"/>
      <c r="D48" s="12"/>
      <c r="E48" s="12"/>
      <c r="F48" s="12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</row>
    <row r="49" spans="1:18" ht="20.25" customHeight="1" x14ac:dyDescent="0.15">
      <c r="A49" s="11"/>
      <c r="B49" s="12"/>
      <c r="C49" s="12"/>
      <c r="D49" s="12"/>
      <c r="E49" s="12"/>
      <c r="F49" s="12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</row>
    <row r="50" spans="1:18" ht="20.25" customHeight="1" x14ac:dyDescent="0.15">
      <c r="A50" s="11"/>
      <c r="B50" s="12"/>
      <c r="C50" s="12"/>
      <c r="D50" s="12"/>
      <c r="E50" s="12"/>
      <c r="F50" s="12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</row>
    <row r="51" spans="1:18" ht="20.25" customHeight="1" x14ac:dyDescent="0.15">
      <c r="A51" s="11"/>
      <c r="B51" s="12"/>
      <c r="C51" s="12"/>
      <c r="D51" s="12"/>
      <c r="E51" s="12"/>
      <c r="F51" s="12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</row>
    <row r="52" spans="1:18" ht="20.25" customHeight="1" x14ac:dyDescent="0.15">
      <c r="A52" s="11"/>
      <c r="B52" s="12"/>
      <c r="C52" s="12"/>
      <c r="D52" s="12"/>
      <c r="E52" s="12"/>
      <c r="F52" s="12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</row>
    <row r="53" spans="1:18" ht="20.25" customHeight="1" x14ac:dyDescent="0.15">
      <c r="A53" s="11"/>
      <c r="B53" s="12"/>
      <c r="C53" s="12"/>
      <c r="D53" s="12"/>
      <c r="E53" s="12"/>
      <c r="F53" s="12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</row>
    <row r="54" spans="1:18" ht="20.25" customHeight="1" x14ac:dyDescent="0.15">
      <c r="A54" s="11"/>
      <c r="B54" s="12"/>
      <c r="C54" s="12"/>
      <c r="D54" s="12"/>
      <c r="E54" s="12"/>
      <c r="F54" s="12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</row>
    <row r="55" spans="1:18" ht="20.25" customHeight="1" x14ac:dyDescent="0.15">
      <c r="A55" s="11"/>
      <c r="B55" s="12"/>
      <c r="C55" s="12"/>
      <c r="D55" s="12"/>
      <c r="E55" s="12"/>
      <c r="F55" s="12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</row>
    <row r="56" spans="1:18" ht="20.25" customHeight="1" x14ac:dyDescent="0.15">
      <c r="A56" s="11"/>
      <c r="B56" s="12"/>
      <c r="C56" s="12"/>
      <c r="D56" s="12"/>
      <c r="E56" s="12"/>
      <c r="F56" s="12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</row>
    <row r="57" spans="1:18" ht="20.25" customHeight="1" x14ac:dyDescent="0.15">
      <c r="A57" s="11"/>
      <c r="B57" s="12"/>
      <c r="C57" s="12"/>
      <c r="D57" s="12"/>
      <c r="E57" s="12"/>
      <c r="F57" s="12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</row>
    <row r="58" spans="1:18" ht="20.25" customHeight="1" x14ac:dyDescent="0.15">
      <c r="A58" s="11"/>
      <c r="B58" s="12"/>
      <c r="C58" s="12"/>
      <c r="D58" s="12"/>
      <c r="E58" s="12"/>
      <c r="F58" s="12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</row>
    <row r="59" spans="1:18" ht="20.25" customHeight="1" x14ac:dyDescent="0.15">
      <c r="A59" s="11"/>
      <c r="B59" s="12"/>
      <c r="C59" s="12"/>
      <c r="D59" s="12"/>
      <c r="E59" s="12"/>
      <c r="F59" s="12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</row>
    <row r="60" spans="1:18" ht="20.25" customHeight="1" x14ac:dyDescent="0.15">
      <c r="A60" s="11"/>
      <c r="B60" s="12"/>
      <c r="C60" s="12"/>
      <c r="D60" s="12"/>
      <c r="E60" s="12"/>
      <c r="F60" s="12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</row>
    <row r="61" spans="1:18" ht="20.25" customHeight="1" x14ac:dyDescent="0.15">
      <c r="A61" s="11"/>
      <c r="B61" s="12"/>
      <c r="C61" s="12"/>
      <c r="D61" s="12"/>
      <c r="E61" s="12"/>
      <c r="F61" s="12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</row>
    <row r="62" spans="1:18" ht="20.25" customHeight="1" x14ac:dyDescent="0.15">
      <c r="A62" s="11"/>
      <c r="B62" s="12"/>
      <c r="C62" s="12"/>
      <c r="D62" s="12"/>
      <c r="E62" s="12"/>
      <c r="F62" s="12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</row>
    <row r="63" spans="1:18" ht="20.25" customHeight="1" x14ac:dyDescent="0.15">
      <c r="A63" s="11"/>
      <c r="B63" s="12"/>
      <c r="C63" s="12"/>
      <c r="D63" s="12"/>
      <c r="E63" s="12"/>
      <c r="F63" s="12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</row>
    <row r="64" spans="1:18" ht="20.25" customHeight="1" x14ac:dyDescent="0.15">
      <c r="A64" s="11"/>
      <c r="B64" s="12"/>
      <c r="C64" s="12"/>
      <c r="D64" s="12"/>
      <c r="E64" s="12"/>
      <c r="F64" s="12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</row>
    <row r="65" spans="1:18" ht="20.25" customHeight="1" x14ac:dyDescent="0.15">
      <c r="A65" s="11"/>
      <c r="B65" s="12"/>
      <c r="C65" s="12"/>
      <c r="D65" s="12"/>
      <c r="E65" s="12"/>
      <c r="F65" s="12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</row>
    <row r="66" spans="1:18" ht="20.25" customHeight="1" x14ac:dyDescent="0.15">
      <c r="A66" s="11"/>
      <c r="B66" s="12"/>
      <c r="C66" s="12"/>
      <c r="D66" s="12"/>
      <c r="E66" s="12"/>
      <c r="F66" s="12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</row>
    <row r="67" spans="1:18" ht="20.25" customHeight="1" x14ac:dyDescent="0.15">
      <c r="A67" s="11"/>
      <c r="B67" s="12"/>
      <c r="C67" s="12"/>
      <c r="D67" s="12"/>
      <c r="E67" s="12"/>
      <c r="F67" s="12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</row>
    <row r="68" spans="1:18" ht="20.25" customHeight="1" x14ac:dyDescent="0.15">
      <c r="A68" s="11"/>
      <c r="B68" s="12"/>
      <c r="C68" s="12"/>
      <c r="D68" s="12"/>
      <c r="E68" s="12"/>
      <c r="F68" s="12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</row>
    <row r="69" spans="1:18" ht="20.25" customHeight="1" x14ac:dyDescent="0.15">
      <c r="A69" s="11"/>
      <c r="B69" s="12"/>
      <c r="C69" s="12"/>
      <c r="D69" s="12"/>
      <c r="E69" s="12"/>
      <c r="F69" s="12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</row>
    <row r="70" spans="1:18" ht="20.25" customHeight="1" x14ac:dyDescent="0.15">
      <c r="A70" s="11"/>
      <c r="B70" s="12"/>
      <c r="C70" s="12"/>
      <c r="D70" s="12"/>
      <c r="E70" s="12"/>
      <c r="F70" s="12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</row>
    <row r="71" spans="1:18" ht="20.25" customHeight="1" x14ac:dyDescent="0.15">
      <c r="A71" s="11"/>
      <c r="B71" s="12"/>
      <c r="C71" s="12"/>
      <c r="D71" s="12"/>
      <c r="E71" s="12"/>
      <c r="F71" s="12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</row>
    <row r="72" spans="1:18" ht="20.25" customHeight="1" x14ac:dyDescent="0.15">
      <c r="A72" s="11"/>
      <c r="B72" s="12"/>
      <c r="C72" s="12"/>
      <c r="D72" s="12"/>
      <c r="E72" s="12"/>
      <c r="F72" s="12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</row>
    <row r="73" spans="1:18" ht="20.25" customHeight="1" x14ac:dyDescent="0.15">
      <c r="A73" s="11"/>
      <c r="B73" s="12"/>
      <c r="C73" s="12"/>
      <c r="D73" s="12"/>
      <c r="E73" s="12"/>
      <c r="F73" s="12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</row>
    <row r="74" spans="1:18" ht="20.25" customHeight="1" x14ac:dyDescent="0.15">
      <c r="A74" s="11"/>
      <c r="B74" s="12"/>
      <c r="C74" s="12"/>
      <c r="D74" s="12"/>
      <c r="E74" s="12"/>
      <c r="F74" s="12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</row>
    <row r="75" spans="1:18" ht="20.25" customHeight="1" x14ac:dyDescent="0.15">
      <c r="A75" s="11"/>
      <c r="B75" s="12"/>
      <c r="C75" s="12"/>
      <c r="D75" s="12"/>
      <c r="E75" s="12"/>
      <c r="F75" s="12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</row>
    <row r="76" spans="1:18" ht="20.25" customHeight="1" x14ac:dyDescent="0.15">
      <c r="A76" s="11"/>
      <c r="B76" s="12"/>
      <c r="C76" s="12"/>
      <c r="D76" s="12"/>
      <c r="E76" s="12"/>
      <c r="F76" s="12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</row>
    <row r="77" spans="1:18" ht="20.25" customHeight="1" x14ac:dyDescent="0.15">
      <c r="A77" s="11"/>
      <c r="B77" s="12"/>
      <c r="C77" s="12"/>
      <c r="D77" s="12"/>
      <c r="E77" s="12"/>
      <c r="F77" s="12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</row>
    <row r="78" spans="1:18" ht="20.25" customHeight="1" x14ac:dyDescent="0.15">
      <c r="A78" s="11"/>
      <c r="B78" s="12"/>
      <c r="C78" s="12"/>
      <c r="D78" s="12"/>
      <c r="E78" s="12"/>
      <c r="F78" s="12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</row>
    <row r="79" spans="1:18" ht="20.25" customHeight="1" x14ac:dyDescent="0.15">
      <c r="A79" s="11"/>
      <c r="B79" s="12"/>
      <c r="C79" s="12"/>
      <c r="D79" s="12"/>
      <c r="E79" s="12"/>
      <c r="F79" s="12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</row>
    <row r="80" spans="1:18" ht="20.25" customHeight="1" x14ac:dyDescent="0.15">
      <c r="A80" s="11"/>
      <c r="B80" s="12"/>
      <c r="C80" s="12"/>
      <c r="D80" s="12"/>
      <c r="E80" s="12"/>
      <c r="F80" s="12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</row>
    <row r="81" spans="1:18" ht="20.25" customHeight="1" x14ac:dyDescent="0.15">
      <c r="A81" s="11"/>
      <c r="B81" s="12"/>
      <c r="C81" s="12"/>
      <c r="D81" s="12"/>
      <c r="E81" s="12"/>
      <c r="F81" s="12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</row>
    <row r="82" spans="1:18" ht="20.25" customHeight="1" x14ac:dyDescent="0.15">
      <c r="A82" s="11"/>
      <c r="B82" s="12"/>
      <c r="C82" s="12"/>
      <c r="D82" s="12"/>
      <c r="E82" s="12"/>
      <c r="F82" s="12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</row>
    <row r="83" spans="1:18" ht="20.25" customHeight="1" x14ac:dyDescent="0.15">
      <c r="A83" s="11"/>
      <c r="B83" s="12"/>
      <c r="C83" s="12"/>
      <c r="D83" s="12"/>
      <c r="E83" s="12"/>
      <c r="F83" s="12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</row>
    <row r="84" spans="1:18" ht="20.25" customHeight="1" x14ac:dyDescent="0.15">
      <c r="A84" s="11"/>
      <c r="B84" s="12"/>
      <c r="C84" s="12"/>
      <c r="D84" s="12"/>
      <c r="E84" s="12"/>
      <c r="F84" s="12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</row>
    <row r="85" spans="1:18" ht="20.25" customHeight="1" x14ac:dyDescent="0.15">
      <c r="A85" s="11"/>
      <c r="B85" s="12"/>
      <c r="C85" s="12"/>
      <c r="D85" s="12"/>
      <c r="E85" s="12"/>
      <c r="F85" s="12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</row>
    <row r="86" spans="1:18" ht="20.25" customHeight="1" x14ac:dyDescent="0.15">
      <c r="A86" s="11"/>
      <c r="B86" s="12"/>
      <c r="C86" s="12"/>
      <c r="D86" s="12"/>
      <c r="E86" s="12"/>
      <c r="F86" s="12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</row>
    <row r="87" spans="1:18" ht="20.25" customHeight="1" x14ac:dyDescent="0.15">
      <c r="A87" s="11"/>
      <c r="B87" s="12"/>
      <c r="C87" s="12"/>
      <c r="D87" s="12"/>
      <c r="E87" s="12"/>
      <c r="F87" s="12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</row>
    <row r="88" spans="1:18" ht="20.25" customHeight="1" x14ac:dyDescent="0.15">
      <c r="A88" s="11"/>
      <c r="B88" s="12"/>
      <c r="C88" s="12"/>
      <c r="D88" s="12"/>
      <c r="E88" s="12"/>
      <c r="F88" s="12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</row>
    <row r="89" spans="1:18" ht="20.25" customHeight="1" x14ac:dyDescent="0.15">
      <c r="A89" s="11"/>
      <c r="B89" s="12"/>
      <c r="C89" s="12"/>
      <c r="D89" s="12"/>
      <c r="E89" s="12"/>
      <c r="F89" s="12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</row>
    <row r="90" spans="1:18" ht="20.25" customHeight="1" x14ac:dyDescent="0.15">
      <c r="A90" s="11"/>
      <c r="B90" s="12"/>
      <c r="C90" s="12"/>
      <c r="D90" s="12"/>
      <c r="E90" s="12"/>
      <c r="F90" s="12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</row>
    <row r="91" spans="1:18" ht="20.25" customHeight="1" x14ac:dyDescent="0.15">
      <c r="A91" s="11"/>
      <c r="B91" s="12"/>
      <c r="C91" s="12"/>
      <c r="D91" s="12"/>
      <c r="E91" s="12"/>
      <c r="F91" s="12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</row>
    <row r="92" spans="1:18" ht="20.25" customHeight="1" x14ac:dyDescent="0.15">
      <c r="A92" s="11"/>
      <c r="B92" s="12"/>
      <c r="C92" s="12"/>
      <c r="D92" s="12"/>
      <c r="E92" s="12"/>
      <c r="F92" s="12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</row>
    <row r="93" spans="1:18" ht="20.25" customHeight="1" x14ac:dyDescent="0.15">
      <c r="A93" s="11"/>
      <c r="B93" s="12"/>
      <c r="C93" s="12"/>
      <c r="D93" s="12"/>
      <c r="E93" s="12"/>
      <c r="F93" s="12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</row>
    <row r="94" spans="1:18" ht="20.25" customHeight="1" x14ac:dyDescent="0.15">
      <c r="A94" s="11"/>
      <c r="B94" s="12"/>
      <c r="C94" s="12"/>
      <c r="D94" s="12"/>
      <c r="E94" s="12"/>
      <c r="F94" s="12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</row>
    <row r="95" spans="1:18" ht="20.25" customHeight="1" x14ac:dyDescent="0.15">
      <c r="A95" s="11"/>
      <c r="B95" s="12"/>
      <c r="C95" s="12"/>
      <c r="D95" s="12"/>
      <c r="E95" s="12"/>
      <c r="F95" s="12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</row>
    <row r="96" spans="1:18" ht="20.25" customHeight="1" x14ac:dyDescent="0.15">
      <c r="A96" s="11"/>
      <c r="B96" s="12"/>
      <c r="C96" s="12"/>
      <c r="D96" s="12"/>
      <c r="E96" s="12"/>
      <c r="F96" s="12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spans="1:18" ht="20.25" customHeight="1" x14ac:dyDescent="0.15">
      <c r="A97" s="11"/>
      <c r="B97" s="12"/>
      <c r="C97" s="12"/>
      <c r="D97" s="12"/>
      <c r="E97" s="12"/>
      <c r="F97" s="12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spans="1:18" ht="20.25" customHeight="1" x14ac:dyDescent="0.15">
      <c r="A98" s="11"/>
      <c r="B98" s="12"/>
      <c r="C98" s="12"/>
      <c r="D98" s="12"/>
      <c r="E98" s="12"/>
      <c r="F98" s="12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spans="1:18" ht="20.25" customHeight="1" x14ac:dyDescent="0.15">
      <c r="A99" s="11"/>
      <c r="B99" s="12"/>
      <c r="C99" s="12"/>
      <c r="D99" s="12"/>
      <c r="E99" s="12"/>
      <c r="F99" s="12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</row>
    <row r="100" spans="1:18" ht="20.25" customHeight="1" x14ac:dyDescent="0.15">
      <c r="A100" s="11"/>
      <c r="B100" s="12"/>
      <c r="C100" s="12"/>
      <c r="D100" s="12"/>
      <c r="E100" s="12"/>
      <c r="F100" s="12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</row>
    <row r="101" spans="1:18" ht="20.25" customHeight="1" x14ac:dyDescent="0.15">
      <c r="A101" s="11"/>
      <c r="B101" s="12"/>
      <c r="C101" s="12"/>
      <c r="D101" s="12"/>
      <c r="E101" s="12"/>
      <c r="F101" s="12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</row>
    <row r="102" spans="1:18" ht="20.25" customHeight="1" x14ac:dyDescent="0.15">
      <c r="A102" s="11"/>
      <c r="B102" s="12"/>
      <c r="C102" s="12"/>
      <c r="D102" s="12"/>
      <c r="E102" s="12"/>
      <c r="F102" s="12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</row>
    <row r="103" spans="1:18" ht="20.25" customHeight="1" x14ac:dyDescent="0.15">
      <c r="A103" s="11"/>
      <c r="B103" s="12"/>
      <c r="C103" s="12"/>
      <c r="D103" s="12"/>
      <c r="E103" s="12"/>
      <c r="F103" s="12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</row>
    <row r="104" spans="1:18" ht="20.25" customHeight="1" x14ac:dyDescent="0.15">
      <c r="A104" s="11"/>
      <c r="B104" s="12"/>
      <c r="C104" s="12"/>
      <c r="D104" s="12"/>
      <c r="E104" s="12"/>
      <c r="F104" s="12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</row>
    <row r="105" spans="1:18" ht="20.25" customHeight="1" x14ac:dyDescent="0.15">
      <c r="A105" s="11"/>
      <c r="B105" s="12"/>
      <c r="C105" s="12"/>
      <c r="D105" s="12"/>
      <c r="E105" s="12"/>
      <c r="F105" s="12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</row>
    <row r="106" spans="1:18" ht="20.25" customHeight="1" x14ac:dyDescent="0.15">
      <c r="A106" s="11"/>
      <c r="B106" s="12"/>
      <c r="C106" s="12"/>
      <c r="D106" s="12"/>
      <c r="E106" s="12"/>
      <c r="F106" s="12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</row>
    <row r="107" spans="1:18" ht="20.25" customHeight="1" x14ac:dyDescent="0.15">
      <c r="A107" s="11"/>
      <c r="B107" s="12"/>
      <c r="C107" s="12"/>
      <c r="D107" s="12"/>
      <c r="E107" s="12"/>
      <c r="F107" s="12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ht="20.25" customHeight="1" x14ac:dyDescent="0.15">
      <c r="A108" s="11"/>
      <c r="B108" s="12"/>
      <c r="C108" s="12"/>
      <c r="D108" s="12"/>
      <c r="E108" s="12"/>
      <c r="F108" s="12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20.25" customHeight="1" x14ac:dyDescent="0.15">
      <c r="A109" s="11"/>
      <c r="B109" s="12"/>
      <c r="C109" s="12"/>
      <c r="D109" s="12"/>
      <c r="E109" s="12"/>
      <c r="F109" s="12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</row>
    <row r="110" spans="1:18" ht="20.25" customHeight="1" x14ac:dyDescent="0.15">
      <c r="A110" s="11"/>
      <c r="B110" s="12"/>
      <c r="C110" s="12"/>
      <c r="D110" s="12"/>
      <c r="E110" s="12"/>
      <c r="F110" s="12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</row>
    <row r="111" spans="1:18" ht="20.25" customHeight="1" x14ac:dyDescent="0.15">
      <c r="A111" s="11"/>
      <c r="B111" s="12"/>
      <c r="C111" s="12"/>
      <c r="D111" s="12"/>
      <c r="E111" s="12"/>
      <c r="F111" s="12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</row>
    <row r="112" spans="1:18" ht="20.25" customHeight="1" x14ac:dyDescent="0.15">
      <c r="A112" s="11"/>
      <c r="B112" s="12"/>
      <c r="C112" s="12"/>
      <c r="D112" s="12"/>
      <c r="E112" s="12"/>
      <c r="F112" s="12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</row>
    <row r="113" spans="1:18" ht="20.25" customHeight="1" x14ac:dyDescent="0.15">
      <c r="A113" s="11"/>
      <c r="B113" s="12"/>
      <c r="C113" s="12"/>
      <c r="D113" s="12"/>
      <c r="E113" s="12"/>
      <c r="F113" s="12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</row>
    <row r="114" spans="1:18" ht="20.25" customHeight="1" x14ac:dyDescent="0.15">
      <c r="A114" s="11"/>
      <c r="B114" s="12"/>
      <c r="C114" s="12"/>
      <c r="D114" s="12"/>
      <c r="E114" s="12"/>
      <c r="F114" s="12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</row>
    <row r="115" spans="1:18" ht="20.25" customHeight="1" x14ac:dyDescent="0.15">
      <c r="A115" s="11"/>
      <c r="B115" s="12"/>
      <c r="C115" s="12"/>
      <c r="D115" s="12"/>
      <c r="E115" s="12"/>
      <c r="F115" s="12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</row>
    <row r="116" spans="1:18" ht="20.25" customHeight="1" x14ac:dyDescent="0.15">
      <c r="A116" s="11"/>
      <c r="B116" s="12"/>
      <c r="C116" s="12"/>
      <c r="D116" s="12"/>
      <c r="E116" s="12"/>
      <c r="F116" s="12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</row>
    <row r="117" spans="1:18" ht="20.25" customHeight="1" x14ac:dyDescent="0.15">
      <c r="A117" s="11"/>
      <c r="B117" s="12"/>
      <c r="C117" s="12"/>
      <c r="D117" s="12"/>
      <c r="E117" s="12"/>
      <c r="F117" s="12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</row>
    <row r="118" spans="1:18" ht="20.25" customHeight="1" x14ac:dyDescent="0.15">
      <c r="A118" s="11"/>
      <c r="B118" s="12"/>
      <c r="C118" s="12"/>
      <c r="D118" s="12"/>
      <c r="E118" s="12"/>
      <c r="F118" s="12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</row>
    <row r="119" spans="1:18" ht="20.25" customHeight="1" x14ac:dyDescent="0.15">
      <c r="A119" s="11"/>
      <c r="B119" s="12"/>
      <c r="C119" s="12"/>
      <c r="D119" s="12"/>
      <c r="E119" s="12"/>
      <c r="F119" s="12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</row>
    <row r="120" spans="1:18" ht="20.25" customHeight="1" x14ac:dyDescent="0.15">
      <c r="A120" s="11"/>
      <c r="B120" s="12"/>
      <c r="C120" s="12"/>
      <c r="D120" s="12"/>
      <c r="E120" s="12"/>
      <c r="F120" s="12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</row>
    <row r="121" spans="1:18" ht="20.25" customHeight="1" x14ac:dyDescent="0.15">
      <c r="A121" s="11"/>
      <c r="B121" s="12"/>
      <c r="C121" s="12"/>
      <c r="D121" s="12"/>
      <c r="E121" s="12"/>
      <c r="F121" s="12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</row>
    <row r="122" spans="1:18" ht="20.25" customHeight="1" x14ac:dyDescent="0.15">
      <c r="A122" s="11"/>
      <c r="B122" s="12"/>
      <c r="C122" s="12"/>
      <c r="D122" s="12"/>
      <c r="E122" s="12"/>
      <c r="F122" s="12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</row>
    <row r="123" spans="1:18" ht="20.25" customHeight="1" x14ac:dyDescent="0.15">
      <c r="A123" s="11"/>
      <c r="B123" s="12"/>
      <c r="C123" s="12"/>
      <c r="D123" s="12"/>
      <c r="E123" s="12"/>
      <c r="F123" s="12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</row>
    <row r="124" spans="1:18" ht="20.25" customHeight="1" x14ac:dyDescent="0.15">
      <c r="A124" s="11"/>
      <c r="B124" s="12"/>
      <c r="C124" s="12"/>
      <c r="D124" s="12"/>
      <c r="E124" s="12"/>
      <c r="F124" s="12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</row>
    <row r="125" spans="1:18" ht="20.25" customHeight="1" x14ac:dyDescent="0.15">
      <c r="A125" s="11"/>
      <c r="B125" s="12"/>
      <c r="C125" s="12"/>
      <c r="D125" s="12"/>
      <c r="E125" s="12"/>
      <c r="F125" s="12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</row>
    <row r="126" spans="1:18" ht="20.25" customHeight="1" x14ac:dyDescent="0.15">
      <c r="A126" s="11"/>
      <c r="B126" s="12"/>
      <c r="C126" s="12"/>
      <c r="D126" s="12"/>
      <c r="E126" s="12"/>
      <c r="F126" s="12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</row>
    <row r="127" spans="1:18" ht="20.25" customHeight="1" x14ac:dyDescent="0.15">
      <c r="A127" s="11"/>
      <c r="B127" s="12"/>
      <c r="C127" s="12"/>
      <c r="D127" s="12"/>
      <c r="E127" s="12"/>
      <c r="F127" s="12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</row>
    <row r="128" spans="1:18" ht="20.25" customHeight="1" x14ac:dyDescent="0.15">
      <c r="A128" s="11"/>
      <c r="B128" s="12"/>
      <c r="C128" s="12"/>
      <c r="D128" s="12"/>
      <c r="E128" s="12"/>
      <c r="F128" s="12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</row>
    <row r="129" spans="1:18" ht="20.25" customHeight="1" x14ac:dyDescent="0.15">
      <c r="A129" s="11"/>
      <c r="B129" s="12"/>
      <c r="C129" s="12"/>
      <c r="D129" s="12"/>
      <c r="E129" s="12"/>
      <c r="F129" s="12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</row>
    <row r="130" spans="1:18" ht="20.25" customHeight="1" x14ac:dyDescent="0.15">
      <c r="A130" s="11"/>
      <c r="B130" s="12"/>
      <c r="C130" s="12"/>
      <c r="D130" s="12"/>
      <c r="E130" s="12"/>
      <c r="F130" s="12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</row>
    <row r="131" spans="1:18" ht="20.25" customHeight="1" x14ac:dyDescent="0.15">
      <c r="A131" s="11"/>
      <c r="B131" s="12"/>
      <c r="C131" s="12"/>
      <c r="D131" s="12"/>
      <c r="E131" s="12"/>
      <c r="F131" s="12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</row>
    <row r="132" spans="1:18" ht="20.25" customHeight="1" x14ac:dyDescent="0.15">
      <c r="A132" s="11"/>
      <c r="B132" s="12"/>
      <c r="C132" s="12"/>
      <c r="D132" s="12"/>
      <c r="E132" s="12"/>
      <c r="F132" s="12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</row>
    <row r="133" spans="1:18" ht="20.25" customHeight="1" x14ac:dyDescent="0.15">
      <c r="A133" s="11"/>
      <c r="B133" s="12"/>
      <c r="C133" s="12"/>
      <c r="D133" s="12"/>
      <c r="E133" s="12"/>
      <c r="F133" s="12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</row>
    <row r="134" spans="1:18" ht="20.25" customHeight="1" x14ac:dyDescent="0.15">
      <c r="A134" s="11"/>
      <c r="B134" s="12"/>
      <c r="C134" s="12"/>
      <c r="D134" s="12"/>
      <c r="E134" s="12"/>
      <c r="F134" s="12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</row>
    <row r="135" spans="1:18" ht="20.25" customHeight="1" x14ac:dyDescent="0.15">
      <c r="A135" s="11"/>
      <c r="B135" s="12"/>
      <c r="C135" s="12"/>
      <c r="D135" s="12"/>
      <c r="E135" s="12"/>
      <c r="F135" s="12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</row>
    <row r="136" spans="1:18" ht="20.25" customHeight="1" x14ac:dyDescent="0.15">
      <c r="A136" s="11"/>
      <c r="B136" s="12"/>
      <c r="C136" s="12"/>
      <c r="D136" s="12"/>
      <c r="E136" s="12"/>
      <c r="F136" s="12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</row>
    <row r="137" spans="1:18" ht="20.25" customHeight="1" x14ac:dyDescent="0.15">
      <c r="A137" s="11"/>
      <c r="B137" s="12"/>
      <c r="C137" s="12"/>
      <c r="D137" s="12"/>
      <c r="E137" s="12"/>
      <c r="F137" s="12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</row>
    <row r="138" spans="1:18" ht="20.25" customHeight="1" x14ac:dyDescent="0.15">
      <c r="A138" s="11"/>
      <c r="B138" s="12"/>
      <c r="C138" s="12"/>
      <c r="D138" s="12"/>
      <c r="E138" s="12"/>
      <c r="F138" s="12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</row>
    <row r="139" spans="1:18" ht="20.25" customHeight="1" x14ac:dyDescent="0.15">
      <c r="A139" s="11"/>
      <c r="B139" s="12"/>
      <c r="C139" s="12"/>
      <c r="D139" s="12"/>
      <c r="E139" s="12"/>
      <c r="F139" s="12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</row>
    <row r="140" spans="1:18" ht="20.25" customHeight="1" x14ac:dyDescent="0.15">
      <c r="A140" s="11"/>
      <c r="B140" s="12"/>
      <c r="C140" s="12"/>
      <c r="D140" s="12"/>
      <c r="E140" s="12"/>
      <c r="F140" s="12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</row>
    <row r="141" spans="1:18" ht="20.25" customHeight="1" x14ac:dyDescent="0.15">
      <c r="A141" s="11"/>
      <c r="B141" s="12"/>
      <c r="C141" s="12"/>
      <c r="D141" s="12"/>
      <c r="E141" s="12"/>
      <c r="F141" s="12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</row>
    <row r="142" spans="1:18" ht="20.25" customHeight="1" x14ac:dyDescent="0.15">
      <c r="A142" s="11"/>
      <c r="B142" s="12"/>
      <c r="C142" s="12"/>
      <c r="D142" s="12"/>
      <c r="E142" s="12"/>
      <c r="F142" s="12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</row>
    <row r="143" spans="1:18" ht="20.25" customHeight="1" x14ac:dyDescent="0.15">
      <c r="A143" s="11"/>
      <c r="B143" s="12"/>
      <c r="C143" s="12"/>
      <c r="D143" s="12"/>
      <c r="E143" s="12"/>
      <c r="F143" s="12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</row>
    <row r="144" spans="1:18" ht="20.25" customHeight="1" x14ac:dyDescent="0.15">
      <c r="A144" s="11"/>
      <c r="B144" s="12"/>
      <c r="C144" s="12"/>
      <c r="D144" s="12"/>
      <c r="E144" s="12"/>
      <c r="F144" s="12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</row>
    <row r="145" spans="1:18" ht="20.25" customHeight="1" x14ac:dyDescent="0.15">
      <c r="A145" s="11"/>
      <c r="B145" s="12"/>
      <c r="C145" s="12"/>
      <c r="D145" s="12"/>
      <c r="E145" s="12"/>
      <c r="F145" s="12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</row>
    <row r="146" spans="1:18" ht="20.25" customHeight="1" x14ac:dyDescent="0.15">
      <c r="A146" s="11"/>
      <c r="B146" s="12"/>
      <c r="C146" s="12"/>
      <c r="D146" s="12"/>
      <c r="E146" s="12"/>
      <c r="F146" s="12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</row>
    <row r="147" spans="1:18" ht="20.25" customHeight="1" x14ac:dyDescent="0.15">
      <c r="A147" s="11"/>
      <c r="B147" s="12"/>
      <c r="C147" s="12"/>
      <c r="D147" s="12"/>
      <c r="E147" s="12"/>
      <c r="F147" s="12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</row>
    <row r="148" spans="1:18" ht="20.25" customHeight="1" x14ac:dyDescent="0.15">
      <c r="A148" s="11"/>
      <c r="B148" s="12"/>
      <c r="C148" s="12"/>
      <c r="D148" s="12"/>
      <c r="E148" s="12"/>
      <c r="F148" s="12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</row>
    <row r="149" spans="1:18" ht="20.25" customHeight="1" x14ac:dyDescent="0.15">
      <c r="A149" s="11"/>
      <c r="B149" s="12"/>
      <c r="C149" s="12"/>
      <c r="D149" s="12"/>
      <c r="E149" s="12"/>
      <c r="F149" s="12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</row>
    <row r="150" spans="1:18" ht="20.25" customHeight="1" x14ac:dyDescent="0.15">
      <c r="A150" s="11"/>
      <c r="B150" s="12"/>
      <c r="C150" s="12"/>
      <c r="D150" s="12"/>
      <c r="E150" s="12"/>
      <c r="F150" s="12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</row>
    <row r="151" spans="1:18" ht="20.25" customHeight="1" x14ac:dyDescent="0.15">
      <c r="A151" s="11"/>
      <c r="B151" s="12"/>
      <c r="C151" s="12"/>
      <c r="D151" s="12"/>
      <c r="E151" s="12"/>
      <c r="F151" s="12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</row>
    <row r="152" spans="1:18" ht="20.25" customHeight="1" x14ac:dyDescent="0.15">
      <c r="A152" s="11"/>
      <c r="B152" s="12"/>
      <c r="C152" s="12"/>
      <c r="D152" s="12"/>
      <c r="E152" s="12"/>
      <c r="F152" s="12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</row>
    <row r="153" spans="1:18" ht="20.25" customHeight="1" x14ac:dyDescent="0.15">
      <c r="A153" s="11"/>
      <c r="B153" s="12"/>
      <c r="C153" s="12"/>
      <c r="D153" s="12"/>
      <c r="E153" s="12"/>
      <c r="F153" s="12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</row>
    <row r="154" spans="1:18" ht="20.25" customHeight="1" x14ac:dyDescent="0.15">
      <c r="A154" s="11"/>
      <c r="B154" s="12"/>
      <c r="C154" s="12"/>
      <c r="D154" s="12"/>
      <c r="E154" s="12"/>
      <c r="F154" s="12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</row>
    <row r="155" spans="1:18" ht="20.25" customHeight="1" x14ac:dyDescent="0.15">
      <c r="A155" s="11"/>
      <c r="B155" s="12"/>
      <c r="C155" s="12"/>
      <c r="D155" s="12"/>
      <c r="E155" s="12"/>
      <c r="F155" s="12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</row>
    <row r="156" spans="1:18" ht="20.25" customHeight="1" x14ac:dyDescent="0.15">
      <c r="A156" s="11"/>
      <c r="B156" s="12"/>
      <c r="C156" s="12"/>
      <c r="D156" s="12"/>
      <c r="E156" s="12"/>
      <c r="F156" s="12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</row>
    <row r="157" spans="1:18" ht="20.25" customHeight="1" x14ac:dyDescent="0.15">
      <c r="A157" s="11"/>
      <c r="B157" s="12"/>
      <c r="C157" s="12"/>
      <c r="D157" s="12"/>
      <c r="E157" s="12"/>
      <c r="F157" s="12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20.25" customHeight="1" x14ac:dyDescent="0.15">
      <c r="A158" s="11"/>
      <c r="B158" s="12"/>
      <c r="C158" s="12"/>
      <c r="D158" s="12"/>
      <c r="E158" s="12"/>
      <c r="F158" s="12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</row>
    <row r="159" spans="1:18" ht="20.25" customHeight="1" x14ac:dyDescent="0.15">
      <c r="A159" s="11"/>
      <c r="B159" s="12"/>
      <c r="C159" s="12"/>
      <c r="D159" s="12"/>
      <c r="E159" s="12"/>
      <c r="F159" s="12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</row>
    <row r="160" spans="1:18" ht="20.25" customHeight="1" x14ac:dyDescent="0.15">
      <c r="A160" s="11"/>
      <c r="B160" s="12"/>
      <c r="C160" s="12"/>
      <c r="D160" s="12"/>
      <c r="E160" s="12"/>
      <c r="F160" s="12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</row>
    <row r="161" spans="1:18" ht="20.25" customHeight="1" x14ac:dyDescent="0.15">
      <c r="A161" s="11"/>
      <c r="B161" s="12"/>
      <c r="C161" s="12"/>
      <c r="D161" s="12"/>
      <c r="E161" s="12"/>
      <c r="F161" s="12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</row>
    <row r="162" spans="1:18" ht="20.25" customHeight="1" x14ac:dyDescent="0.15">
      <c r="A162" s="11"/>
      <c r="B162" s="12"/>
      <c r="C162" s="12"/>
      <c r="D162" s="12"/>
      <c r="E162" s="12"/>
      <c r="F162" s="12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</row>
    <row r="163" spans="1:18" ht="20.25" customHeight="1" x14ac:dyDescent="0.15">
      <c r="A163" s="11"/>
      <c r="B163" s="12"/>
      <c r="C163" s="12"/>
      <c r="D163" s="12"/>
      <c r="E163" s="12"/>
      <c r="F163" s="12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</row>
    <row r="164" spans="1:18" ht="20.25" customHeight="1" x14ac:dyDescent="0.15">
      <c r="A164" s="11"/>
      <c r="B164" s="12"/>
      <c r="C164" s="12"/>
      <c r="D164" s="12"/>
      <c r="E164" s="12"/>
      <c r="F164" s="12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</row>
    <row r="165" spans="1:18" ht="20.25" customHeight="1" x14ac:dyDescent="0.15">
      <c r="A165" s="11"/>
      <c r="B165" s="12"/>
      <c r="C165" s="12"/>
      <c r="D165" s="12"/>
      <c r="E165" s="12"/>
      <c r="F165" s="12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</row>
    <row r="166" spans="1:18" ht="20.25" customHeight="1" x14ac:dyDescent="0.15">
      <c r="A166" s="11"/>
      <c r="B166" s="12"/>
      <c r="C166" s="12"/>
      <c r="D166" s="12"/>
      <c r="E166" s="12"/>
      <c r="F166" s="12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</row>
    <row r="167" spans="1:18" ht="20.25" customHeight="1" x14ac:dyDescent="0.15">
      <c r="A167" s="11"/>
      <c r="B167" s="12"/>
      <c r="C167" s="12"/>
      <c r="D167" s="12"/>
      <c r="E167" s="12"/>
      <c r="F167" s="12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</row>
    <row r="168" spans="1:18" ht="20.25" customHeight="1" x14ac:dyDescent="0.15">
      <c r="A168" s="11"/>
      <c r="B168" s="12"/>
      <c r="C168" s="12"/>
      <c r="D168" s="12"/>
      <c r="E168" s="12"/>
      <c r="F168" s="12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</row>
    <row r="169" spans="1:18" ht="20.25" customHeight="1" x14ac:dyDescent="0.15">
      <c r="A169" s="11"/>
      <c r="B169" s="12"/>
      <c r="C169" s="12"/>
      <c r="D169" s="12"/>
      <c r="E169" s="12"/>
      <c r="F169" s="12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</row>
    <row r="170" spans="1:18" ht="20.25" customHeight="1" x14ac:dyDescent="0.15">
      <c r="A170" s="11"/>
      <c r="B170" s="12"/>
      <c r="C170" s="12"/>
      <c r="D170" s="12"/>
      <c r="E170" s="12"/>
      <c r="F170" s="12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</row>
    <row r="171" spans="1:18" ht="20.25" customHeight="1" x14ac:dyDescent="0.15">
      <c r="A171" s="11"/>
      <c r="B171" s="12"/>
      <c r="C171" s="12"/>
      <c r="D171" s="12"/>
      <c r="E171" s="12"/>
      <c r="F171" s="12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</row>
    <row r="172" spans="1:18" ht="20.25" customHeight="1" x14ac:dyDescent="0.15">
      <c r="A172" s="11"/>
      <c r="B172" s="12"/>
      <c r="C172" s="12"/>
      <c r="D172" s="12"/>
      <c r="E172" s="12"/>
      <c r="F172" s="12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</row>
    <row r="173" spans="1:18" ht="20.25" customHeight="1" x14ac:dyDescent="0.15">
      <c r="A173" s="11"/>
      <c r="B173" s="12"/>
      <c r="C173" s="12"/>
      <c r="D173" s="12"/>
      <c r="E173" s="12"/>
      <c r="F173" s="12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</row>
    <row r="174" spans="1:18" ht="20.25" customHeight="1" x14ac:dyDescent="0.15">
      <c r="A174" s="11"/>
      <c r="B174" s="12"/>
      <c r="C174" s="12"/>
      <c r="D174" s="12"/>
      <c r="E174" s="12"/>
      <c r="F174" s="12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</row>
    <row r="175" spans="1:18" ht="20.25" customHeight="1" x14ac:dyDescent="0.15">
      <c r="A175" s="11"/>
      <c r="B175" s="12"/>
      <c r="C175" s="12"/>
      <c r="D175" s="12"/>
      <c r="E175" s="12"/>
      <c r="F175" s="12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</row>
    <row r="176" spans="1:18" ht="20.25" customHeight="1" x14ac:dyDescent="0.15">
      <c r="A176" s="11"/>
      <c r="B176" s="12"/>
      <c r="C176" s="12"/>
      <c r="D176" s="12"/>
      <c r="E176" s="12"/>
      <c r="F176" s="12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</row>
    <row r="177" spans="1:18" ht="20.25" customHeight="1" x14ac:dyDescent="0.15">
      <c r="A177" s="11"/>
      <c r="B177" s="12"/>
      <c r="C177" s="12"/>
      <c r="D177" s="12"/>
      <c r="E177" s="12"/>
      <c r="F177" s="12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</row>
    <row r="178" spans="1:18" ht="20.25" customHeight="1" x14ac:dyDescent="0.15">
      <c r="A178" s="11"/>
      <c r="B178" s="12"/>
      <c r="C178" s="12"/>
      <c r="D178" s="12"/>
      <c r="E178" s="12"/>
      <c r="F178" s="12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</row>
    <row r="179" spans="1:18" ht="20.25" customHeight="1" x14ac:dyDescent="0.15">
      <c r="A179" s="11"/>
      <c r="B179" s="12"/>
      <c r="C179" s="12"/>
      <c r="D179" s="12"/>
      <c r="E179" s="12"/>
      <c r="F179" s="12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</row>
    <row r="180" spans="1:18" ht="20.25" customHeight="1" x14ac:dyDescent="0.15">
      <c r="A180" s="11"/>
      <c r="B180" s="12"/>
      <c r="C180" s="12"/>
      <c r="D180" s="12"/>
      <c r="E180" s="12"/>
      <c r="F180" s="12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</row>
    <row r="181" spans="1:18" ht="20.25" customHeight="1" x14ac:dyDescent="0.15">
      <c r="A181" s="11"/>
      <c r="B181" s="12"/>
      <c r="C181" s="12"/>
      <c r="D181" s="12"/>
      <c r="E181" s="12"/>
      <c r="F181" s="12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</row>
    <row r="182" spans="1:18" ht="20.25" customHeight="1" x14ac:dyDescent="0.15">
      <c r="A182" s="11"/>
      <c r="B182" s="12"/>
      <c r="C182" s="12"/>
      <c r="D182" s="12"/>
      <c r="E182" s="12"/>
      <c r="F182" s="12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</row>
    <row r="183" spans="1:18" ht="20.25" customHeight="1" x14ac:dyDescent="0.15">
      <c r="A183" s="11"/>
      <c r="B183" s="12"/>
      <c r="C183" s="12"/>
      <c r="D183" s="12"/>
      <c r="E183" s="12"/>
      <c r="F183" s="12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</row>
    <row r="184" spans="1:18" ht="20.25" customHeight="1" x14ac:dyDescent="0.15">
      <c r="A184" s="11"/>
      <c r="B184" s="12"/>
      <c r="C184" s="12"/>
      <c r="D184" s="12"/>
      <c r="E184" s="12"/>
      <c r="F184" s="12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</row>
    <row r="185" spans="1:18" ht="20.25" customHeight="1" x14ac:dyDescent="0.15">
      <c r="A185" s="11"/>
      <c r="B185" s="12"/>
      <c r="C185" s="12"/>
      <c r="D185" s="12"/>
      <c r="E185" s="12"/>
      <c r="F185" s="12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</row>
    <row r="186" spans="1:18" ht="20.25" customHeight="1" x14ac:dyDescent="0.15">
      <c r="A186" s="11"/>
      <c r="B186" s="12"/>
      <c r="C186" s="12"/>
      <c r="D186" s="12"/>
      <c r="E186" s="12"/>
      <c r="F186" s="12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</row>
    <row r="187" spans="1:18" ht="20.25" customHeight="1" x14ac:dyDescent="0.15">
      <c r="A187" s="11"/>
      <c r="B187" s="12"/>
      <c r="C187" s="12"/>
      <c r="D187" s="12"/>
      <c r="E187" s="12"/>
      <c r="F187" s="12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</row>
    <row r="188" spans="1:18" ht="20.25" customHeight="1" x14ac:dyDescent="0.15">
      <c r="A188" s="11"/>
      <c r="B188" s="12"/>
      <c r="C188" s="12"/>
      <c r="D188" s="12"/>
      <c r="E188" s="12"/>
      <c r="F188" s="12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ht="20.25" customHeight="1" x14ac:dyDescent="0.15">
      <c r="A189" s="11"/>
      <c r="B189" s="12"/>
      <c r="C189" s="12"/>
      <c r="D189" s="12"/>
      <c r="E189" s="12"/>
      <c r="F189" s="12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20.25" customHeight="1" x14ac:dyDescent="0.15">
      <c r="A190" s="11"/>
      <c r="B190" s="12"/>
      <c r="C190" s="12"/>
      <c r="D190" s="12"/>
      <c r="E190" s="12"/>
      <c r="F190" s="12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</row>
    <row r="191" spans="1:18" ht="20.25" customHeight="1" x14ac:dyDescent="0.15">
      <c r="A191" s="11"/>
      <c r="B191" s="12"/>
      <c r="C191" s="12"/>
      <c r="D191" s="12"/>
      <c r="E191" s="12"/>
      <c r="F191" s="12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</row>
    <row r="192" spans="1:18" ht="20.25" customHeight="1" x14ac:dyDescent="0.15">
      <c r="A192" s="11"/>
      <c r="B192" s="12"/>
      <c r="C192" s="12"/>
      <c r="D192" s="12"/>
      <c r="E192" s="12"/>
      <c r="F192" s="12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</row>
    <row r="193" spans="1:18" ht="20.25" customHeight="1" x14ac:dyDescent="0.15">
      <c r="A193" s="11"/>
      <c r="B193" s="12"/>
      <c r="C193" s="12"/>
      <c r="D193" s="12"/>
      <c r="E193" s="12"/>
      <c r="F193" s="12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</row>
    <row r="194" spans="1:18" ht="20.25" customHeight="1" x14ac:dyDescent="0.15">
      <c r="A194" s="11"/>
      <c r="B194" s="12"/>
      <c r="C194" s="12"/>
      <c r="D194" s="12"/>
      <c r="E194" s="12"/>
      <c r="F194" s="12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</row>
    <row r="195" spans="1:18" ht="20.25" customHeight="1" x14ac:dyDescent="0.15">
      <c r="A195" s="11"/>
      <c r="B195" s="12"/>
      <c r="C195" s="12"/>
      <c r="D195" s="12"/>
      <c r="E195" s="12"/>
      <c r="F195" s="12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</row>
    <row r="196" spans="1:18" ht="20.25" customHeight="1" x14ac:dyDescent="0.15">
      <c r="A196" s="11"/>
      <c r="B196" s="12"/>
      <c r="C196" s="12"/>
      <c r="D196" s="12"/>
      <c r="E196" s="12"/>
      <c r="F196" s="12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</row>
    <row r="197" spans="1:18" ht="20.25" customHeight="1" x14ac:dyDescent="0.15">
      <c r="A197" s="11"/>
      <c r="B197" s="12"/>
      <c r="C197" s="12"/>
      <c r="D197" s="12"/>
      <c r="E197" s="12"/>
      <c r="F197" s="12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</row>
    <row r="198" spans="1:18" ht="20.25" customHeight="1" x14ac:dyDescent="0.15">
      <c r="A198" s="11"/>
      <c r="B198" s="12"/>
      <c r="C198" s="12"/>
      <c r="D198" s="12"/>
      <c r="E198" s="12"/>
      <c r="F198" s="12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</row>
    <row r="199" spans="1:18" ht="20.25" customHeight="1" x14ac:dyDescent="0.15">
      <c r="A199" s="11"/>
      <c r="B199" s="12"/>
      <c r="C199" s="12"/>
      <c r="D199" s="12"/>
      <c r="E199" s="12"/>
      <c r="F199" s="12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</row>
    <row r="200" spans="1:18" ht="20.25" customHeight="1" x14ac:dyDescent="0.15">
      <c r="A200" s="11"/>
      <c r="B200" s="12"/>
      <c r="C200" s="12"/>
      <c r="D200" s="12"/>
      <c r="E200" s="12"/>
      <c r="F200" s="12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</row>
    <row r="201" spans="1:18" ht="20.25" customHeight="1" x14ac:dyDescent="0.15">
      <c r="A201" s="11"/>
      <c r="B201" s="12"/>
      <c r="C201" s="12"/>
      <c r="D201" s="12"/>
      <c r="E201" s="12"/>
      <c r="F201" s="12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</row>
    <row r="202" spans="1:18" ht="20.25" customHeight="1" x14ac:dyDescent="0.15">
      <c r="A202" s="11"/>
      <c r="B202" s="12"/>
      <c r="C202" s="12"/>
      <c r="D202" s="12"/>
      <c r="E202" s="12"/>
      <c r="F202" s="12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</row>
    <row r="203" spans="1:18" ht="20.25" customHeight="1" x14ac:dyDescent="0.15">
      <c r="A203" s="11"/>
      <c r="B203" s="12"/>
      <c r="C203" s="12"/>
      <c r="D203" s="12"/>
      <c r="E203" s="12"/>
      <c r="F203" s="12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</row>
    <row r="204" spans="1:18" ht="20.25" customHeight="1" x14ac:dyDescent="0.15">
      <c r="A204" s="11"/>
      <c r="B204" s="12"/>
      <c r="C204" s="12"/>
      <c r="D204" s="12"/>
      <c r="E204" s="12"/>
      <c r="F204" s="12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</row>
    <row r="205" spans="1:18" ht="20.25" customHeight="1" x14ac:dyDescent="0.15">
      <c r="A205" s="11"/>
      <c r="B205" s="12"/>
      <c r="C205" s="12"/>
      <c r="D205" s="12"/>
      <c r="E205" s="12"/>
      <c r="F205" s="12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</row>
    <row r="206" spans="1:18" ht="20.25" customHeight="1" x14ac:dyDescent="0.15">
      <c r="A206" s="11"/>
      <c r="B206" s="12"/>
      <c r="C206" s="12"/>
      <c r="D206" s="12"/>
      <c r="E206" s="12"/>
      <c r="F206" s="12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</row>
    <row r="207" spans="1:18" ht="20.25" customHeight="1" x14ac:dyDescent="0.15">
      <c r="A207" s="11"/>
      <c r="B207" s="12"/>
      <c r="C207" s="12"/>
      <c r="D207" s="12"/>
      <c r="E207" s="12"/>
      <c r="F207" s="12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</row>
    <row r="208" spans="1:18" ht="20.25" customHeight="1" x14ac:dyDescent="0.15">
      <c r="A208" s="11"/>
      <c r="B208" s="12"/>
      <c r="C208" s="12"/>
      <c r="D208" s="12"/>
      <c r="E208" s="12"/>
      <c r="F208" s="12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</row>
    <row r="209" spans="1:18" ht="20.25" customHeight="1" x14ac:dyDescent="0.15">
      <c r="A209" s="11"/>
      <c r="B209" s="12"/>
      <c r="C209" s="12"/>
      <c r="D209" s="12"/>
      <c r="E209" s="12"/>
      <c r="F209" s="12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</row>
    <row r="210" spans="1:18" ht="20.25" customHeight="1" x14ac:dyDescent="0.15">
      <c r="A210" s="11"/>
      <c r="B210" s="12"/>
      <c r="C210" s="12"/>
      <c r="D210" s="12"/>
      <c r="E210" s="12"/>
      <c r="F210" s="12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20.25" customHeight="1" x14ac:dyDescent="0.15">
      <c r="A211" s="11"/>
      <c r="B211" s="12"/>
      <c r="C211" s="12"/>
      <c r="D211" s="12"/>
      <c r="E211" s="12"/>
      <c r="F211" s="12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</row>
    <row r="212" spans="1:18" ht="20.25" customHeight="1" x14ac:dyDescent="0.15">
      <c r="A212" s="11"/>
      <c r="B212" s="12"/>
      <c r="C212" s="12"/>
      <c r="D212" s="12"/>
      <c r="E212" s="12"/>
      <c r="F212" s="12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</row>
    <row r="213" spans="1:18" ht="20.25" customHeight="1" x14ac:dyDescent="0.15">
      <c r="A213" s="11"/>
      <c r="B213" s="12"/>
      <c r="C213" s="12"/>
      <c r="D213" s="12"/>
      <c r="E213" s="12"/>
      <c r="F213" s="12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</row>
    <row r="214" spans="1:18" ht="20.25" customHeight="1" x14ac:dyDescent="0.15">
      <c r="A214" s="11"/>
      <c r="B214" s="12"/>
      <c r="C214" s="12"/>
      <c r="D214" s="12"/>
      <c r="E214" s="12"/>
      <c r="F214" s="12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</row>
    <row r="215" spans="1:18" ht="20.25" customHeight="1" x14ac:dyDescent="0.15">
      <c r="A215" s="11"/>
      <c r="B215" s="12"/>
      <c r="C215" s="12"/>
      <c r="D215" s="12"/>
      <c r="E215" s="12"/>
      <c r="F215" s="12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</row>
    <row r="216" spans="1:18" ht="20.25" customHeight="1" x14ac:dyDescent="0.15">
      <c r="A216" s="11"/>
      <c r="B216" s="12"/>
      <c r="C216" s="12"/>
      <c r="D216" s="12"/>
      <c r="E216" s="12"/>
      <c r="F216" s="12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</row>
    <row r="217" spans="1:18" ht="20.25" customHeight="1" x14ac:dyDescent="0.15">
      <c r="A217" s="11"/>
      <c r="B217" s="12"/>
      <c r="C217" s="12"/>
      <c r="D217" s="12"/>
      <c r="E217" s="12"/>
      <c r="F217" s="12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</row>
    <row r="218" spans="1:18" ht="20.25" customHeight="1" x14ac:dyDescent="0.15">
      <c r="A218" s="11"/>
      <c r="B218" s="12"/>
      <c r="C218" s="12"/>
      <c r="D218" s="12"/>
      <c r="E218" s="12"/>
      <c r="F218" s="12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</row>
    <row r="219" spans="1:18" ht="20.25" customHeight="1" x14ac:dyDescent="0.15">
      <c r="A219" s="11"/>
      <c r="B219" s="12"/>
      <c r="C219" s="12"/>
      <c r="D219" s="12"/>
      <c r="E219" s="12"/>
      <c r="F219" s="12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</row>
    <row r="220" spans="1:18" ht="20.25" customHeight="1" x14ac:dyDescent="0.15">
      <c r="A220" s="11"/>
      <c r="B220" s="12"/>
      <c r="C220" s="12"/>
      <c r="D220" s="12"/>
      <c r="E220" s="12"/>
      <c r="F220" s="12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</row>
    <row r="221" spans="1:18" ht="20.25" customHeight="1" x14ac:dyDescent="0.15">
      <c r="A221" s="11"/>
      <c r="B221" s="12"/>
      <c r="C221" s="12"/>
      <c r="D221" s="12"/>
      <c r="E221" s="12"/>
      <c r="F221" s="12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</row>
    <row r="222" spans="1:18" ht="20.25" customHeight="1" x14ac:dyDescent="0.15">
      <c r="A222" s="11"/>
      <c r="B222" s="12"/>
      <c r="C222" s="12"/>
      <c r="D222" s="12"/>
      <c r="E222" s="12"/>
      <c r="F222" s="12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</row>
    <row r="223" spans="1:18" ht="20.25" customHeight="1" x14ac:dyDescent="0.15">
      <c r="A223" s="11"/>
      <c r="B223" s="12"/>
      <c r="C223" s="12"/>
      <c r="D223" s="12"/>
      <c r="E223" s="12"/>
      <c r="F223" s="12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</row>
    <row r="224" spans="1:18" ht="20.25" customHeight="1" x14ac:dyDescent="0.15">
      <c r="A224" s="11"/>
      <c r="B224" s="12"/>
      <c r="C224" s="12"/>
      <c r="D224" s="12"/>
      <c r="E224" s="12"/>
      <c r="F224" s="12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</row>
    <row r="225" spans="1:18" ht="20.25" customHeight="1" x14ac:dyDescent="0.15">
      <c r="A225" s="11"/>
      <c r="B225" s="12"/>
      <c r="C225" s="12"/>
      <c r="D225" s="12"/>
      <c r="E225" s="12"/>
      <c r="F225" s="12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</row>
    <row r="226" spans="1:18" ht="20.25" customHeight="1" x14ac:dyDescent="0.15">
      <c r="A226" s="11"/>
      <c r="B226" s="12"/>
      <c r="C226" s="12"/>
      <c r="D226" s="12"/>
      <c r="E226" s="12"/>
      <c r="F226" s="12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</row>
    <row r="227" spans="1:18" ht="20.25" customHeight="1" x14ac:dyDescent="0.15">
      <c r="A227" s="11"/>
      <c r="B227" s="12"/>
      <c r="C227" s="12"/>
      <c r="D227" s="12"/>
      <c r="E227" s="12"/>
      <c r="F227" s="12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</row>
    <row r="228" spans="1:18" ht="20.25" customHeight="1" x14ac:dyDescent="0.15">
      <c r="A228" s="11"/>
      <c r="B228" s="12"/>
      <c r="C228" s="12"/>
      <c r="D228" s="12"/>
      <c r="E228" s="12"/>
      <c r="F228" s="12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</row>
    <row r="229" spans="1:18" ht="20.25" customHeight="1" x14ac:dyDescent="0.15">
      <c r="A229" s="11"/>
      <c r="B229" s="12"/>
      <c r="C229" s="12"/>
      <c r="D229" s="12"/>
      <c r="E229" s="12"/>
      <c r="F229" s="12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</row>
    <row r="230" spans="1:18" ht="20.25" customHeight="1" x14ac:dyDescent="0.15">
      <c r="A230" s="11"/>
      <c r="B230" s="12"/>
      <c r="C230" s="12"/>
      <c r="D230" s="12"/>
      <c r="E230" s="12"/>
      <c r="F230" s="12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</row>
    <row r="231" spans="1:18" ht="20.25" customHeight="1" x14ac:dyDescent="0.15">
      <c r="A231" s="11"/>
      <c r="B231" s="12"/>
      <c r="C231" s="12"/>
      <c r="D231" s="12"/>
      <c r="E231" s="12"/>
      <c r="F231" s="12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</row>
    <row r="232" spans="1:18" ht="20.25" customHeight="1" x14ac:dyDescent="0.15">
      <c r="A232" s="11"/>
      <c r="B232" s="12"/>
      <c r="C232" s="12"/>
      <c r="D232" s="12"/>
      <c r="E232" s="12"/>
      <c r="F232" s="12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</row>
    <row r="233" spans="1:18" ht="20.25" customHeight="1" x14ac:dyDescent="0.15">
      <c r="A233" s="11"/>
      <c r="B233" s="12"/>
      <c r="C233" s="12"/>
      <c r="D233" s="12"/>
      <c r="E233" s="12"/>
      <c r="F233" s="12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</row>
    <row r="234" spans="1:18" ht="20.25" customHeight="1" x14ac:dyDescent="0.15">
      <c r="A234" s="11"/>
      <c r="B234" s="12"/>
      <c r="C234" s="12"/>
      <c r="D234" s="12"/>
      <c r="E234" s="12"/>
      <c r="F234" s="12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</row>
    <row r="235" spans="1:18" ht="20.25" customHeight="1" x14ac:dyDescent="0.15">
      <c r="A235" s="11"/>
      <c r="B235" s="12"/>
      <c r="C235" s="12"/>
      <c r="D235" s="12"/>
      <c r="E235" s="12"/>
      <c r="F235" s="12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</row>
    <row r="236" spans="1:18" ht="20.25" customHeight="1" x14ac:dyDescent="0.15">
      <c r="A236" s="11"/>
      <c r="B236" s="12"/>
      <c r="C236" s="12"/>
      <c r="D236" s="12"/>
      <c r="E236" s="12"/>
      <c r="F236" s="12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</row>
    <row r="237" spans="1:18" ht="20.25" customHeight="1" x14ac:dyDescent="0.15">
      <c r="A237" s="11"/>
      <c r="B237" s="12"/>
      <c r="C237" s="12"/>
      <c r="D237" s="12"/>
      <c r="E237" s="12"/>
      <c r="F237" s="12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</row>
    <row r="238" spans="1:18" ht="20.25" customHeight="1" x14ac:dyDescent="0.15">
      <c r="A238" s="11"/>
      <c r="B238" s="12"/>
      <c r="C238" s="12"/>
      <c r="D238" s="12"/>
      <c r="E238" s="12"/>
      <c r="F238" s="12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</row>
    <row r="239" spans="1:18" ht="20.25" customHeight="1" x14ac:dyDescent="0.15">
      <c r="A239" s="11"/>
      <c r="B239" s="12"/>
      <c r="C239" s="12"/>
      <c r="D239" s="12"/>
      <c r="E239" s="12"/>
      <c r="F239" s="12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</row>
    <row r="240" spans="1:18" ht="20.25" customHeight="1" x14ac:dyDescent="0.15">
      <c r="A240" s="11"/>
      <c r="B240" s="12"/>
      <c r="C240" s="12"/>
      <c r="D240" s="12"/>
      <c r="E240" s="12"/>
      <c r="F240" s="12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</row>
    <row r="241" spans="1:18" ht="20.25" customHeight="1" x14ac:dyDescent="0.15">
      <c r="A241" s="11"/>
      <c r="B241" s="12"/>
      <c r="C241" s="12"/>
      <c r="D241" s="12"/>
      <c r="E241" s="12"/>
      <c r="F241" s="12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</row>
    <row r="242" spans="1:18" ht="20.25" customHeight="1" x14ac:dyDescent="0.15">
      <c r="A242" s="11"/>
      <c r="B242" s="12"/>
      <c r="C242" s="12"/>
      <c r="D242" s="12"/>
      <c r="E242" s="12"/>
      <c r="F242" s="12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</row>
    <row r="243" spans="1:18" ht="20.25" customHeight="1" x14ac:dyDescent="0.15">
      <c r="A243" s="11"/>
      <c r="B243" s="12"/>
      <c r="C243" s="12"/>
      <c r="D243" s="12"/>
      <c r="E243" s="12"/>
      <c r="F243" s="12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</row>
    <row r="244" spans="1:18" ht="20.25" customHeight="1" x14ac:dyDescent="0.15">
      <c r="A244" s="11"/>
      <c r="B244" s="12"/>
      <c r="C244" s="12"/>
      <c r="D244" s="12"/>
      <c r="E244" s="12"/>
      <c r="F244" s="12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</row>
    <row r="245" spans="1:18" ht="20.25" customHeight="1" x14ac:dyDescent="0.15">
      <c r="A245" s="11"/>
      <c r="B245" s="12"/>
      <c r="C245" s="12"/>
      <c r="D245" s="12"/>
      <c r="E245" s="12"/>
      <c r="F245" s="12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</row>
    <row r="246" spans="1:18" ht="20.25" customHeight="1" x14ac:dyDescent="0.15">
      <c r="A246" s="11"/>
      <c r="B246" s="12"/>
      <c r="C246" s="12"/>
      <c r="D246" s="12"/>
      <c r="E246" s="12"/>
      <c r="F246" s="12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</row>
    <row r="247" spans="1:18" ht="20.25" customHeight="1" x14ac:dyDescent="0.15">
      <c r="A247" s="11"/>
      <c r="B247" s="12"/>
      <c r="C247" s="12"/>
      <c r="D247" s="12"/>
      <c r="E247" s="12"/>
      <c r="F247" s="12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</row>
    <row r="248" spans="1:18" ht="20.25" customHeight="1" x14ac:dyDescent="0.15">
      <c r="A248" s="11"/>
      <c r="B248" s="12"/>
      <c r="C248" s="12"/>
      <c r="D248" s="12"/>
      <c r="E248" s="12"/>
      <c r="F248" s="12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</row>
    <row r="249" spans="1:18" ht="20.25" customHeight="1" x14ac:dyDescent="0.15">
      <c r="A249" s="11"/>
      <c r="B249" s="12"/>
      <c r="C249" s="12"/>
      <c r="D249" s="12"/>
      <c r="E249" s="12"/>
      <c r="F249" s="12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</row>
    <row r="250" spans="1:18" ht="20.25" customHeight="1" x14ac:dyDescent="0.15">
      <c r="A250" s="11"/>
      <c r="B250" s="12"/>
      <c r="C250" s="12"/>
      <c r="D250" s="12"/>
      <c r="E250" s="12"/>
      <c r="F250" s="12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</row>
    <row r="251" spans="1:18" ht="20.25" customHeight="1" x14ac:dyDescent="0.15">
      <c r="A251" s="11"/>
      <c r="B251" s="12"/>
      <c r="C251" s="12"/>
      <c r="D251" s="12"/>
      <c r="E251" s="12"/>
      <c r="F251" s="12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</row>
    <row r="252" spans="1:18" ht="20.25" customHeight="1" x14ac:dyDescent="0.15">
      <c r="A252" s="11"/>
      <c r="B252" s="12"/>
      <c r="C252" s="12"/>
      <c r="D252" s="12"/>
      <c r="E252" s="12"/>
      <c r="F252" s="12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</row>
    <row r="253" spans="1:18" ht="20.25" customHeight="1" x14ac:dyDescent="0.15">
      <c r="A253" s="11"/>
      <c r="B253" s="12"/>
      <c r="C253" s="12"/>
      <c r="D253" s="12"/>
      <c r="E253" s="12"/>
      <c r="F253" s="12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</row>
    <row r="254" spans="1:18" ht="20.25" customHeight="1" x14ac:dyDescent="0.15">
      <c r="A254" s="11"/>
      <c r="B254" s="12"/>
      <c r="C254" s="12"/>
      <c r="D254" s="12"/>
      <c r="E254" s="12"/>
      <c r="F254" s="12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</row>
    <row r="255" spans="1:18" ht="20.25" customHeight="1" x14ac:dyDescent="0.15">
      <c r="A255" s="11"/>
      <c r="B255" s="12"/>
      <c r="C255" s="12"/>
      <c r="D255" s="12"/>
      <c r="E255" s="12"/>
      <c r="F255" s="12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</row>
    <row r="256" spans="1:18" ht="20.25" customHeight="1" x14ac:dyDescent="0.15">
      <c r="A256" s="11"/>
      <c r="B256" s="12"/>
      <c r="C256" s="12"/>
      <c r="D256" s="12"/>
      <c r="E256" s="12"/>
      <c r="F256" s="12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</row>
    <row r="257" spans="1:18" ht="20.25" customHeight="1" x14ac:dyDescent="0.15">
      <c r="A257" s="11"/>
      <c r="B257" s="12"/>
      <c r="C257" s="12"/>
      <c r="D257" s="12"/>
      <c r="E257" s="12"/>
      <c r="F257" s="12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</row>
    <row r="258" spans="1:18" ht="20.25" customHeight="1" x14ac:dyDescent="0.15">
      <c r="A258" s="11"/>
      <c r="B258" s="12"/>
      <c r="C258" s="12"/>
      <c r="D258" s="12"/>
      <c r="E258" s="12"/>
      <c r="F258" s="12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</row>
    <row r="259" spans="1:18" ht="20.25" customHeight="1" x14ac:dyDescent="0.15">
      <c r="A259" s="11"/>
      <c r="B259" s="12"/>
      <c r="C259" s="12"/>
      <c r="D259" s="12"/>
      <c r="E259" s="12"/>
      <c r="F259" s="12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</row>
    <row r="260" spans="1:18" ht="20.25" customHeight="1" x14ac:dyDescent="0.15">
      <c r="A260" s="11"/>
      <c r="B260" s="12"/>
      <c r="C260" s="12"/>
      <c r="D260" s="12"/>
      <c r="E260" s="12"/>
      <c r="F260" s="12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</row>
    <row r="261" spans="1:18" ht="20.25" customHeight="1" x14ac:dyDescent="0.15">
      <c r="A261" s="11"/>
      <c r="B261" s="12"/>
      <c r="C261" s="12"/>
      <c r="D261" s="12"/>
      <c r="E261" s="12"/>
      <c r="F261" s="12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</row>
    <row r="262" spans="1:18" ht="20.25" customHeight="1" x14ac:dyDescent="0.15">
      <c r="A262" s="11"/>
      <c r="B262" s="12"/>
      <c r="C262" s="12"/>
      <c r="D262" s="12"/>
      <c r="E262" s="12"/>
      <c r="F262" s="12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</row>
    <row r="263" spans="1:18" ht="20.25" customHeight="1" x14ac:dyDescent="0.15">
      <c r="A263" s="11"/>
      <c r="B263" s="12"/>
      <c r="C263" s="12"/>
      <c r="D263" s="12"/>
      <c r="E263" s="12"/>
      <c r="F263" s="12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</row>
    <row r="264" spans="1:18" ht="20.25" customHeight="1" x14ac:dyDescent="0.15">
      <c r="A264" s="11"/>
      <c r="B264" s="12"/>
      <c r="C264" s="12"/>
      <c r="D264" s="12"/>
      <c r="E264" s="12"/>
      <c r="F264" s="12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</row>
    <row r="265" spans="1:18" ht="20.25" customHeight="1" x14ac:dyDescent="0.15">
      <c r="A265" s="11"/>
      <c r="B265" s="12"/>
      <c r="C265" s="12"/>
      <c r="D265" s="12"/>
      <c r="E265" s="12"/>
      <c r="F265" s="12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</row>
    <row r="266" spans="1:18" ht="20.25" customHeight="1" x14ac:dyDescent="0.15">
      <c r="A266" s="11"/>
      <c r="B266" s="12"/>
      <c r="C266" s="12"/>
      <c r="D266" s="12"/>
      <c r="E266" s="12"/>
      <c r="F266" s="12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</row>
    <row r="267" spans="1:18" ht="20.25" customHeight="1" x14ac:dyDescent="0.15">
      <c r="A267" s="11"/>
      <c r="B267" s="12"/>
      <c r="C267" s="12"/>
      <c r="D267" s="12"/>
      <c r="E267" s="12"/>
      <c r="F267" s="12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</row>
    <row r="268" spans="1:18" ht="20.25" customHeight="1" x14ac:dyDescent="0.15">
      <c r="A268" s="11"/>
      <c r="B268" s="12"/>
      <c r="C268" s="12"/>
      <c r="D268" s="12"/>
      <c r="E268" s="12"/>
      <c r="F268" s="12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</row>
    <row r="269" spans="1:18" ht="20.25" customHeight="1" x14ac:dyDescent="0.15">
      <c r="A269" s="11"/>
      <c r="B269" s="12"/>
      <c r="C269" s="12"/>
      <c r="D269" s="12"/>
      <c r="E269" s="12"/>
      <c r="F269" s="12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</row>
    <row r="270" spans="1:18" ht="20.25" customHeight="1" x14ac:dyDescent="0.15">
      <c r="A270" s="11"/>
      <c r="B270" s="12"/>
      <c r="C270" s="12"/>
      <c r="D270" s="12"/>
      <c r="E270" s="12"/>
      <c r="F270" s="12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</row>
    <row r="271" spans="1:18" ht="20.25" customHeight="1" x14ac:dyDescent="0.15">
      <c r="A271" s="11"/>
      <c r="B271" s="12"/>
      <c r="C271" s="12"/>
      <c r="D271" s="12"/>
      <c r="E271" s="12"/>
      <c r="F271" s="12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</row>
    <row r="272" spans="1:18" ht="20.25" customHeight="1" x14ac:dyDescent="0.15">
      <c r="A272" s="11"/>
      <c r="B272" s="12"/>
      <c r="C272" s="12"/>
      <c r="D272" s="12"/>
      <c r="E272" s="12"/>
      <c r="F272" s="12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</row>
    <row r="273" spans="1:18" ht="20.25" customHeight="1" x14ac:dyDescent="0.15">
      <c r="A273" s="11"/>
      <c r="B273" s="12"/>
      <c r="C273" s="12"/>
      <c r="D273" s="12"/>
      <c r="E273" s="12"/>
      <c r="F273" s="12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</row>
    <row r="274" spans="1:18" ht="20.25" customHeight="1" x14ac:dyDescent="0.15">
      <c r="A274" s="11"/>
      <c r="B274" s="12"/>
      <c r="C274" s="12"/>
      <c r="D274" s="12"/>
      <c r="E274" s="12"/>
      <c r="F274" s="12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</row>
    <row r="275" spans="1:18" ht="20.25" customHeight="1" x14ac:dyDescent="0.15">
      <c r="A275" s="11"/>
      <c r="B275" s="12"/>
      <c r="C275" s="12"/>
      <c r="D275" s="12"/>
      <c r="E275" s="12"/>
      <c r="F275" s="12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</row>
    <row r="276" spans="1:18" ht="20.25" customHeight="1" x14ac:dyDescent="0.15">
      <c r="A276" s="11"/>
      <c r="B276" s="12"/>
      <c r="C276" s="12"/>
      <c r="D276" s="12"/>
      <c r="E276" s="12"/>
      <c r="F276" s="12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</row>
    <row r="277" spans="1:18" ht="20.25" customHeight="1" x14ac:dyDescent="0.15">
      <c r="A277" s="11"/>
      <c r="B277" s="12"/>
      <c r="C277" s="12"/>
      <c r="D277" s="12"/>
      <c r="E277" s="12"/>
      <c r="F277" s="12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</row>
    <row r="278" spans="1:18" ht="20.25" customHeight="1" x14ac:dyDescent="0.15">
      <c r="A278" s="11"/>
      <c r="B278" s="12"/>
      <c r="C278" s="12"/>
      <c r="D278" s="12"/>
      <c r="E278" s="12"/>
      <c r="F278" s="12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</row>
    <row r="279" spans="1:18" ht="20.25" customHeight="1" x14ac:dyDescent="0.15">
      <c r="A279" s="11"/>
      <c r="B279" s="12"/>
      <c r="C279" s="12"/>
      <c r="D279" s="12"/>
      <c r="E279" s="12"/>
      <c r="F279" s="12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</row>
    <row r="280" spans="1:18" ht="20.25" customHeight="1" x14ac:dyDescent="0.15">
      <c r="A280" s="11"/>
      <c r="B280" s="12"/>
      <c r="C280" s="12"/>
      <c r="D280" s="12"/>
      <c r="E280" s="12"/>
      <c r="F280" s="12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</row>
    <row r="281" spans="1:18" ht="20.25" customHeight="1" x14ac:dyDescent="0.15">
      <c r="A281" s="11"/>
      <c r="B281" s="12"/>
      <c r="C281" s="12"/>
      <c r="D281" s="12"/>
      <c r="E281" s="12"/>
      <c r="F281" s="12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</row>
    <row r="282" spans="1:18" ht="20.25" customHeight="1" x14ac:dyDescent="0.15">
      <c r="A282" s="11"/>
      <c r="B282" s="12"/>
      <c r="C282" s="12"/>
      <c r="D282" s="12"/>
      <c r="E282" s="12"/>
      <c r="F282" s="12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</row>
    <row r="283" spans="1:18" ht="20.25" customHeight="1" x14ac:dyDescent="0.15">
      <c r="A283" s="11"/>
      <c r="B283" s="12"/>
      <c r="C283" s="12"/>
      <c r="D283" s="12"/>
      <c r="E283" s="12"/>
      <c r="F283" s="12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</row>
    <row r="284" spans="1:18" ht="20.25" customHeight="1" x14ac:dyDescent="0.15">
      <c r="A284" s="11"/>
      <c r="B284" s="12"/>
      <c r="C284" s="12"/>
      <c r="D284" s="12"/>
      <c r="E284" s="12"/>
      <c r="F284" s="12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</row>
    <row r="285" spans="1:18" ht="20.25" customHeight="1" x14ac:dyDescent="0.15">
      <c r="A285" s="11"/>
      <c r="B285" s="12"/>
      <c r="C285" s="12"/>
      <c r="D285" s="12"/>
      <c r="E285" s="12"/>
      <c r="F285" s="12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</row>
    <row r="286" spans="1:18" ht="20.25" customHeight="1" x14ac:dyDescent="0.15">
      <c r="A286" s="11"/>
      <c r="B286" s="12"/>
      <c r="C286" s="12"/>
      <c r="D286" s="12"/>
      <c r="E286" s="12"/>
      <c r="F286" s="12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</row>
    <row r="287" spans="1:18" ht="20.25" customHeight="1" x14ac:dyDescent="0.15">
      <c r="A287" s="11"/>
      <c r="B287" s="12"/>
      <c r="C287" s="12"/>
      <c r="D287" s="12"/>
      <c r="E287" s="12"/>
      <c r="F287" s="12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</row>
    <row r="288" spans="1:18" ht="20.25" customHeight="1" x14ac:dyDescent="0.15">
      <c r="A288" s="11"/>
      <c r="B288" s="12"/>
      <c r="C288" s="12"/>
      <c r="D288" s="12"/>
      <c r="E288" s="12"/>
      <c r="F288" s="12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</row>
    <row r="289" spans="1:18" ht="20.25" customHeight="1" x14ac:dyDescent="0.15">
      <c r="A289" s="11"/>
      <c r="B289" s="12"/>
      <c r="C289" s="12"/>
      <c r="D289" s="12"/>
      <c r="E289" s="12"/>
      <c r="F289" s="12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</row>
    <row r="290" spans="1:18" ht="20.25" customHeight="1" x14ac:dyDescent="0.15">
      <c r="A290" s="11"/>
      <c r="B290" s="12"/>
      <c r="C290" s="12"/>
      <c r="D290" s="12"/>
      <c r="E290" s="12"/>
      <c r="F290" s="12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</row>
    <row r="291" spans="1:18" ht="20.25" customHeight="1" x14ac:dyDescent="0.15">
      <c r="A291" s="11"/>
      <c r="B291" s="12"/>
      <c r="C291" s="12"/>
      <c r="D291" s="12"/>
      <c r="E291" s="12"/>
      <c r="F291" s="12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</row>
    <row r="292" spans="1:18" ht="20.25" customHeight="1" x14ac:dyDescent="0.15">
      <c r="A292" s="11"/>
      <c r="B292" s="12"/>
      <c r="C292" s="12"/>
      <c r="D292" s="12"/>
      <c r="E292" s="12"/>
      <c r="F292" s="12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</row>
    <row r="293" spans="1:18" ht="20.25" customHeight="1" x14ac:dyDescent="0.15">
      <c r="A293" s="11"/>
      <c r="B293" s="12"/>
      <c r="C293" s="12"/>
      <c r="D293" s="12"/>
      <c r="E293" s="12"/>
      <c r="F293" s="12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</row>
    <row r="294" spans="1:18" ht="20.25" customHeight="1" x14ac:dyDescent="0.15">
      <c r="A294" s="11"/>
      <c r="B294" s="12"/>
      <c r="C294" s="12"/>
      <c r="D294" s="12"/>
      <c r="E294" s="12"/>
      <c r="F294" s="12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</row>
    <row r="295" spans="1:18" ht="20.25" customHeight="1" x14ac:dyDescent="0.15">
      <c r="A295" s="11"/>
      <c r="B295" s="12"/>
      <c r="C295" s="12"/>
      <c r="D295" s="12"/>
      <c r="E295" s="12"/>
      <c r="F295" s="12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</row>
    <row r="296" spans="1:18" ht="20.25" customHeight="1" x14ac:dyDescent="0.15">
      <c r="A296" s="11"/>
      <c r="B296" s="12"/>
      <c r="C296" s="12"/>
      <c r="D296" s="12"/>
      <c r="E296" s="12"/>
      <c r="F296" s="12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</row>
    <row r="297" spans="1:18" ht="20.25" customHeight="1" x14ac:dyDescent="0.15">
      <c r="A297" s="11"/>
      <c r="B297" s="12"/>
      <c r="C297" s="12"/>
      <c r="D297" s="12"/>
      <c r="E297" s="12"/>
      <c r="F297" s="12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</row>
    <row r="298" spans="1:18" ht="20.25" customHeight="1" x14ac:dyDescent="0.15">
      <c r="A298" s="11"/>
      <c r="B298" s="12"/>
      <c r="C298" s="12"/>
      <c r="D298" s="12"/>
      <c r="E298" s="12"/>
      <c r="F298" s="12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</row>
    <row r="299" spans="1:18" ht="20.25" customHeight="1" x14ac:dyDescent="0.15">
      <c r="A299" s="11"/>
      <c r="B299" s="12"/>
      <c r="C299" s="12"/>
      <c r="D299" s="12"/>
      <c r="E299" s="12"/>
      <c r="F299" s="12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</row>
    <row r="300" spans="1:18" ht="20.25" customHeight="1" x14ac:dyDescent="0.15">
      <c r="A300" s="11"/>
      <c r="B300" s="12"/>
      <c r="C300" s="12"/>
      <c r="D300" s="12"/>
      <c r="E300" s="12"/>
      <c r="F300" s="12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</row>
    <row r="301" spans="1:18" ht="20.25" customHeight="1" x14ac:dyDescent="0.15">
      <c r="A301" s="11"/>
      <c r="B301" s="12"/>
      <c r="C301" s="12"/>
      <c r="D301" s="12"/>
      <c r="E301" s="12"/>
      <c r="F301" s="12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</row>
    <row r="302" spans="1:18" ht="20.25" customHeight="1" x14ac:dyDescent="0.15">
      <c r="A302" s="11"/>
      <c r="B302" s="12"/>
      <c r="C302" s="12"/>
      <c r="D302" s="12"/>
      <c r="E302" s="12"/>
      <c r="F302" s="12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</row>
    <row r="303" spans="1:18" ht="20.25" customHeight="1" x14ac:dyDescent="0.15">
      <c r="A303" s="11"/>
      <c r="B303" s="12"/>
      <c r="C303" s="12"/>
      <c r="D303" s="12"/>
      <c r="E303" s="12"/>
      <c r="F303" s="12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</row>
    <row r="304" spans="1:18" ht="20.25" customHeight="1" x14ac:dyDescent="0.15">
      <c r="A304" s="11"/>
      <c r="B304" s="12"/>
      <c r="C304" s="12"/>
      <c r="D304" s="12"/>
      <c r="E304" s="12"/>
      <c r="F304" s="12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</row>
    <row r="305" spans="1:18" ht="20.25" customHeight="1" x14ac:dyDescent="0.15">
      <c r="A305" s="11"/>
      <c r="B305" s="12"/>
      <c r="C305" s="12"/>
      <c r="D305" s="12"/>
      <c r="E305" s="12"/>
      <c r="F305" s="12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</row>
    <row r="306" spans="1:18" ht="20.25" customHeight="1" x14ac:dyDescent="0.15">
      <c r="A306" s="11"/>
      <c r="B306" s="12"/>
      <c r="C306" s="12"/>
      <c r="D306" s="12"/>
      <c r="E306" s="12"/>
      <c r="F306" s="12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</row>
    <row r="307" spans="1:18" ht="20.25" customHeight="1" x14ac:dyDescent="0.15">
      <c r="A307" s="11"/>
      <c r="B307" s="12"/>
      <c r="C307" s="12"/>
      <c r="D307" s="12"/>
      <c r="E307" s="12"/>
      <c r="F307" s="12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</row>
    <row r="308" spans="1:18" ht="20.25" customHeight="1" x14ac:dyDescent="0.15">
      <c r="A308" s="11"/>
      <c r="B308" s="12"/>
      <c r="C308" s="12"/>
      <c r="D308" s="12"/>
      <c r="E308" s="12"/>
      <c r="F308" s="12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</row>
    <row r="309" spans="1:18" ht="20.25" customHeight="1" x14ac:dyDescent="0.15">
      <c r="A309" s="11"/>
      <c r="B309" s="12"/>
      <c r="C309" s="12"/>
      <c r="D309" s="12"/>
      <c r="E309" s="12"/>
      <c r="F309" s="12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</row>
    <row r="310" spans="1:18" ht="20.25" customHeight="1" x14ac:dyDescent="0.15">
      <c r="A310" s="11"/>
      <c r="B310" s="12"/>
      <c r="C310" s="12"/>
      <c r="D310" s="12"/>
      <c r="E310" s="12"/>
      <c r="F310" s="12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</row>
    <row r="311" spans="1:18" ht="20.25" customHeight="1" x14ac:dyDescent="0.15">
      <c r="A311" s="11"/>
      <c r="B311" s="12"/>
      <c r="C311" s="12"/>
      <c r="D311" s="12"/>
      <c r="E311" s="12"/>
      <c r="F311" s="12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</row>
    <row r="312" spans="1:18" ht="20.25" customHeight="1" x14ac:dyDescent="0.15">
      <c r="A312" s="11"/>
      <c r="B312" s="12"/>
      <c r="C312" s="12"/>
      <c r="D312" s="12"/>
      <c r="E312" s="12"/>
      <c r="F312" s="12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</row>
    <row r="313" spans="1:18" ht="20.25" customHeight="1" x14ac:dyDescent="0.15">
      <c r="A313" s="11"/>
      <c r="B313" s="12"/>
      <c r="C313" s="12"/>
      <c r="D313" s="12"/>
      <c r="E313" s="12"/>
      <c r="F313" s="12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</row>
    <row r="314" spans="1:18" ht="20.25" customHeight="1" x14ac:dyDescent="0.15">
      <c r="A314" s="11"/>
      <c r="B314" s="12"/>
      <c r="C314" s="12"/>
      <c r="D314" s="12"/>
      <c r="E314" s="12"/>
      <c r="F314" s="12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</row>
    <row r="315" spans="1:18" ht="20.25" customHeight="1" x14ac:dyDescent="0.15">
      <c r="A315" s="11"/>
      <c r="B315" s="12"/>
      <c r="C315" s="12"/>
      <c r="D315" s="12"/>
      <c r="E315" s="12"/>
      <c r="F315" s="12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</row>
    <row r="316" spans="1:18" ht="20.25" customHeight="1" x14ac:dyDescent="0.15">
      <c r="A316" s="11"/>
      <c r="B316" s="12"/>
      <c r="C316" s="12"/>
      <c r="D316" s="12"/>
      <c r="E316" s="12"/>
      <c r="F316" s="12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</row>
    <row r="317" spans="1:18" ht="20.25" customHeight="1" x14ac:dyDescent="0.15">
      <c r="A317" s="11"/>
      <c r="B317" s="12"/>
      <c r="C317" s="12"/>
      <c r="D317" s="12"/>
      <c r="E317" s="12"/>
      <c r="F317" s="12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</row>
    <row r="318" spans="1:18" ht="20.25" customHeight="1" x14ac:dyDescent="0.15">
      <c r="A318" s="11"/>
      <c r="B318" s="12"/>
      <c r="C318" s="12"/>
      <c r="D318" s="12"/>
      <c r="E318" s="12"/>
      <c r="F318" s="12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</row>
    <row r="319" spans="1:18" ht="20.25" customHeight="1" x14ac:dyDescent="0.15">
      <c r="A319" s="11"/>
      <c r="B319" s="12"/>
      <c r="C319" s="12"/>
      <c r="D319" s="12"/>
      <c r="E319" s="12"/>
      <c r="F319" s="12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</row>
    <row r="320" spans="1:18" ht="20.25" customHeight="1" x14ac:dyDescent="0.15">
      <c r="A320" s="11"/>
      <c r="B320" s="12"/>
      <c r="C320" s="12"/>
      <c r="D320" s="12"/>
      <c r="E320" s="12"/>
      <c r="F320" s="12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</row>
    <row r="321" spans="1:18" ht="20.25" customHeight="1" x14ac:dyDescent="0.15">
      <c r="A321" s="11"/>
      <c r="B321" s="12"/>
      <c r="C321" s="12"/>
      <c r="D321" s="12"/>
      <c r="E321" s="12"/>
      <c r="F321" s="12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</row>
    <row r="322" spans="1:18" ht="20.25" customHeight="1" x14ac:dyDescent="0.15">
      <c r="A322" s="11"/>
      <c r="B322" s="12"/>
      <c r="C322" s="12"/>
      <c r="D322" s="12"/>
      <c r="E322" s="12"/>
      <c r="F322" s="12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</row>
    <row r="323" spans="1:18" ht="20.25" customHeight="1" x14ac:dyDescent="0.15">
      <c r="A323" s="11"/>
      <c r="B323" s="12"/>
      <c r="C323" s="12"/>
      <c r="D323" s="12"/>
      <c r="E323" s="12"/>
      <c r="F323" s="12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</row>
    <row r="324" spans="1:18" ht="20.25" customHeight="1" x14ac:dyDescent="0.15">
      <c r="A324" s="11"/>
      <c r="B324" s="12"/>
      <c r="C324" s="12"/>
      <c r="D324" s="12"/>
      <c r="E324" s="12"/>
      <c r="F324" s="12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</row>
    <row r="325" spans="1:18" ht="20.25" customHeight="1" x14ac:dyDescent="0.15">
      <c r="A325" s="11"/>
      <c r="B325" s="12"/>
      <c r="C325" s="12"/>
      <c r="D325" s="12"/>
      <c r="E325" s="12"/>
      <c r="F325" s="12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</row>
    <row r="326" spans="1:18" ht="20.25" customHeight="1" x14ac:dyDescent="0.15">
      <c r="A326" s="11"/>
      <c r="B326" s="12"/>
      <c r="C326" s="12"/>
      <c r="D326" s="12"/>
      <c r="E326" s="12"/>
      <c r="F326" s="12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</row>
    <row r="327" spans="1:18" ht="20.25" customHeight="1" x14ac:dyDescent="0.15">
      <c r="A327" s="11"/>
      <c r="B327" s="12"/>
      <c r="C327" s="12"/>
      <c r="D327" s="12"/>
      <c r="E327" s="12"/>
      <c r="F327" s="12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</row>
    <row r="328" spans="1:18" ht="20.25" customHeight="1" x14ac:dyDescent="0.15">
      <c r="A328" s="11"/>
      <c r="B328" s="12"/>
      <c r="C328" s="12"/>
      <c r="D328" s="12"/>
      <c r="E328" s="12"/>
      <c r="F328" s="12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</row>
    <row r="329" spans="1:18" ht="20.25" customHeight="1" x14ac:dyDescent="0.15">
      <c r="A329" s="11"/>
      <c r="B329" s="12"/>
      <c r="C329" s="12"/>
      <c r="D329" s="12"/>
      <c r="E329" s="12"/>
      <c r="F329" s="12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</row>
    <row r="330" spans="1:18" ht="20.25" customHeight="1" x14ac:dyDescent="0.15">
      <c r="A330" s="11"/>
      <c r="B330" s="12"/>
      <c r="C330" s="12"/>
      <c r="D330" s="12"/>
      <c r="E330" s="12"/>
      <c r="F330" s="12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</row>
    <row r="331" spans="1:18" ht="20.25" customHeight="1" x14ac:dyDescent="0.15">
      <c r="A331" s="11"/>
      <c r="B331" s="12"/>
      <c r="C331" s="12"/>
      <c r="D331" s="12"/>
      <c r="E331" s="12"/>
      <c r="F331" s="12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</row>
    <row r="332" spans="1:18" ht="20.25" customHeight="1" x14ac:dyDescent="0.15">
      <c r="A332" s="11"/>
      <c r="B332" s="12"/>
      <c r="C332" s="12"/>
      <c r="D332" s="12"/>
      <c r="E332" s="12"/>
      <c r="F332" s="12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</row>
    <row r="333" spans="1:18" ht="20.25" customHeight="1" x14ac:dyDescent="0.15">
      <c r="A333" s="11"/>
      <c r="B333" s="12"/>
      <c r="C333" s="12"/>
      <c r="D333" s="12"/>
      <c r="E333" s="12"/>
      <c r="F333" s="12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</row>
    <row r="334" spans="1:18" ht="20.25" customHeight="1" x14ac:dyDescent="0.15">
      <c r="A334" s="11"/>
      <c r="B334" s="12"/>
      <c r="C334" s="12"/>
      <c r="D334" s="12"/>
      <c r="E334" s="12"/>
      <c r="F334" s="12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</row>
    <row r="335" spans="1:18" ht="20.25" customHeight="1" x14ac:dyDescent="0.15">
      <c r="A335" s="11"/>
      <c r="B335" s="12"/>
      <c r="C335" s="12"/>
      <c r="D335" s="12"/>
      <c r="E335" s="12"/>
      <c r="F335" s="12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</row>
    <row r="336" spans="1:18" ht="20.25" customHeight="1" x14ac:dyDescent="0.15">
      <c r="A336" s="11"/>
      <c r="B336" s="12"/>
      <c r="C336" s="12"/>
      <c r="D336" s="12"/>
      <c r="E336" s="12"/>
      <c r="F336" s="12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</row>
    <row r="337" spans="1:18" ht="20.25" customHeight="1" x14ac:dyDescent="0.15">
      <c r="A337" s="11"/>
      <c r="B337" s="12"/>
      <c r="C337" s="12"/>
      <c r="D337" s="12"/>
      <c r="E337" s="12"/>
      <c r="F337" s="12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</row>
    <row r="338" spans="1:18" ht="20.25" customHeight="1" x14ac:dyDescent="0.15">
      <c r="A338" s="11"/>
      <c r="B338" s="12"/>
      <c r="C338" s="12"/>
      <c r="D338" s="12"/>
      <c r="E338" s="12"/>
      <c r="F338" s="12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</row>
    <row r="339" spans="1:18" ht="20.25" customHeight="1" x14ac:dyDescent="0.15">
      <c r="A339" s="11"/>
      <c r="B339" s="12"/>
      <c r="C339" s="12"/>
      <c r="D339" s="12"/>
      <c r="E339" s="12"/>
      <c r="F339" s="12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</row>
    <row r="340" spans="1:18" ht="20.25" customHeight="1" x14ac:dyDescent="0.15">
      <c r="A340" s="11"/>
      <c r="B340" s="12"/>
      <c r="C340" s="12"/>
      <c r="D340" s="12"/>
      <c r="E340" s="12"/>
      <c r="F340" s="12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</row>
    <row r="341" spans="1:18" ht="20.25" customHeight="1" x14ac:dyDescent="0.15">
      <c r="A341" s="11"/>
      <c r="B341" s="12"/>
      <c r="C341" s="12"/>
      <c r="D341" s="12"/>
      <c r="E341" s="12"/>
      <c r="F341" s="12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</row>
    <row r="342" spans="1:18" ht="20.25" customHeight="1" x14ac:dyDescent="0.15">
      <c r="A342" s="11"/>
      <c r="B342" s="12"/>
      <c r="C342" s="12"/>
      <c r="D342" s="12"/>
      <c r="E342" s="12"/>
      <c r="F342" s="12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</row>
    <row r="343" spans="1:18" ht="20.25" customHeight="1" x14ac:dyDescent="0.15">
      <c r="A343" s="11"/>
      <c r="B343" s="12"/>
      <c r="C343" s="12"/>
      <c r="D343" s="12"/>
      <c r="E343" s="12"/>
      <c r="F343" s="12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</row>
    <row r="344" spans="1:18" ht="20.25" customHeight="1" x14ac:dyDescent="0.15">
      <c r="A344" s="11"/>
      <c r="B344" s="12"/>
      <c r="C344" s="12"/>
      <c r="D344" s="12"/>
      <c r="E344" s="12"/>
      <c r="F344" s="12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</row>
    <row r="345" spans="1:18" ht="20.25" customHeight="1" x14ac:dyDescent="0.15">
      <c r="A345" s="11"/>
      <c r="B345" s="12"/>
      <c r="C345" s="12"/>
      <c r="D345" s="12"/>
      <c r="E345" s="12"/>
      <c r="F345" s="12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</row>
    <row r="346" spans="1:18" ht="20.25" customHeight="1" x14ac:dyDescent="0.15">
      <c r="A346" s="11"/>
      <c r="B346" s="12"/>
      <c r="C346" s="12"/>
      <c r="D346" s="12"/>
      <c r="E346" s="12"/>
      <c r="F346" s="12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</row>
    <row r="347" spans="1:18" ht="20.25" customHeight="1" x14ac:dyDescent="0.15">
      <c r="A347" s="11"/>
      <c r="B347" s="12"/>
      <c r="C347" s="12"/>
      <c r="D347" s="12"/>
      <c r="E347" s="12"/>
      <c r="F347" s="12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</row>
    <row r="348" spans="1:18" ht="20.25" customHeight="1" x14ac:dyDescent="0.15">
      <c r="A348" s="11"/>
      <c r="B348" s="12"/>
      <c r="C348" s="12"/>
      <c r="D348" s="12"/>
      <c r="E348" s="12"/>
      <c r="F348" s="12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</row>
    <row r="349" spans="1:18" ht="20.25" customHeight="1" x14ac:dyDescent="0.15">
      <c r="A349" s="11"/>
      <c r="B349" s="12"/>
      <c r="C349" s="12"/>
      <c r="D349" s="12"/>
      <c r="E349" s="12"/>
      <c r="F349" s="12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</row>
    <row r="350" spans="1:18" ht="20.25" customHeight="1" x14ac:dyDescent="0.15">
      <c r="A350" s="11"/>
      <c r="B350" s="12"/>
      <c r="C350" s="12"/>
      <c r="D350" s="12"/>
      <c r="E350" s="12"/>
      <c r="F350" s="12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</row>
    <row r="351" spans="1:18" ht="20.25" customHeight="1" x14ac:dyDescent="0.15">
      <c r="A351" s="11"/>
      <c r="B351" s="12"/>
      <c r="C351" s="12"/>
      <c r="D351" s="12"/>
      <c r="E351" s="12"/>
      <c r="F351" s="12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</row>
    <row r="352" spans="1:18" ht="20.25" customHeight="1" x14ac:dyDescent="0.15">
      <c r="A352" s="11"/>
      <c r="B352" s="12"/>
      <c r="C352" s="12"/>
      <c r="D352" s="12"/>
      <c r="E352" s="12"/>
      <c r="F352" s="12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</row>
    <row r="353" spans="1:18" ht="20.25" customHeight="1" x14ac:dyDescent="0.15">
      <c r="A353" s="11"/>
      <c r="B353" s="12"/>
      <c r="C353" s="12"/>
      <c r="D353" s="12"/>
      <c r="E353" s="12"/>
      <c r="F353" s="12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</row>
    <row r="354" spans="1:18" ht="20.25" customHeight="1" x14ac:dyDescent="0.15">
      <c r="A354" s="11"/>
      <c r="B354" s="12"/>
      <c r="C354" s="12"/>
      <c r="D354" s="12"/>
      <c r="E354" s="12"/>
      <c r="F354" s="12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</row>
    <row r="355" spans="1:18" ht="20.25" customHeight="1" x14ac:dyDescent="0.15">
      <c r="A355" s="11"/>
      <c r="B355" s="12"/>
      <c r="C355" s="12"/>
      <c r="D355" s="12"/>
      <c r="E355" s="12"/>
      <c r="F355" s="12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</row>
    <row r="356" spans="1:18" ht="20.25" customHeight="1" x14ac:dyDescent="0.15">
      <c r="A356" s="11"/>
      <c r="B356" s="12"/>
      <c r="C356" s="12"/>
      <c r="D356" s="12"/>
      <c r="E356" s="12"/>
      <c r="F356" s="12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</row>
    <row r="357" spans="1:18" ht="20.25" customHeight="1" x14ac:dyDescent="0.15">
      <c r="A357" s="11"/>
      <c r="B357" s="12"/>
      <c r="C357" s="12"/>
      <c r="D357" s="12"/>
      <c r="E357" s="12"/>
      <c r="F357" s="12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</row>
    <row r="358" spans="1:18" ht="20.25" customHeight="1" x14ac:dyDescent="0.15">
      <c r="A358" s="11"/>
      <c r="B358" s="12"/>
      <c r="C358" s="12"/>
      <c r="D358" s="12"/>
      <c r="E358" s="12"/>
      <c r="F358" s="12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</row>
    <row r="359" spans="1:18" ht="20.25" customHeight="1" x14ac:dyDescent="0.15">
      <c r="A359" s="11"/>
      <c r="B359" s="12"/>
      <c r="C359" s="12"/>
      <c r="D359" s="12"/>
      <c r="E359" s="12"/>
      <c r="F359" s="12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</row>
    <row r="360" spans="1:18" ht="20.25" customHeight="1" x14ac:dyDescent="0.15">
      <c r="A360" s="11"/>
      <c r="B360" s="12"/>
      <c r="C360" s="12"/>
      <c r="D360" s="12"/>
      <c r="E360" s="12"/>
      <c r="F360" s="12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</row>
    <row r="361" spans="1:18" ht="20.25" customHeight="1" x14ac:dyDescent="0.15">
      <c r="A361" s="11"/>
      <c r="B361" s="12"/>
      <c r="C361" s="12"/>
      <c r="D361" s="12"/>
      <c r="E361" s="12"/>
      <c r="F361" s="12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</row>
    <row r="362" spans="1:18" ht="20.25" customHeight="1" x14ac:dyDescent="0.15">
      <c r="A362" s="11"/>
      <c r="B362" s="12"/>
      <c r="C362" s="12"/>
      <c r="D362" s="12"/>
      <c r="E362" s="12"/>
      <c r="F362" s="12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</row>
    <row r="363" spans="1:18" ht="20.25" customHeight="1" x14ac:dyDescent="0.15">
      <c r="A363" s="11"/>
      <c r="B363" s="12"/>
      <c r="C363" s="12"/>
      <c r="D363" s="12"/>
      <c r="E363" s="12"/>
      <c r="F363" s="12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</row>
    <row r="364" spans="1:18" ht="20.25" customHeight="1" x14ac:dyDescent="0.15">
      <c r="A364" s="11"/>
      <c r="B364" s="12"/>
      <c r="C364" s="12"/>
      <c r="D364" s="12"/>
      <c r="E364" s="12"/>
      <c r="F364" s="12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</row>
    <row r="365" spans="1:18" ht="20.25" customHeight="1" x14ac:dyDescent="0.15">
      <c r="A365" s="11"/>
      <c r="B365" s="12"/>
      <c r="C365" s="12"/>
      <c r="D365" s="12"/>
      <c r="E365" s="12"/>
      <c r="F365" s="12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</row>
    <row r="366" spans="1:18" ht="20.25" customHeight="1" x14ac:dyDescent="0.15">
      <c r="A366" s="11"/>
      <c r="B366" s="12"/>
      <c r="C366" s="12"/>
      <c r="D366" s="12"/>
      <c r="E366" s="12"/>
      <c r="F366" s="12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</row>
    <row r="367" spans="1:18" x14ac:dyDescent="0.15">
      <c r="A367" s="11"/>
      <c r="B367" s="12"/>
      <c r="C367" s="12"/>
      <c r="D367" s="12"/>
      <c r="E367" s="12"/>
      <c r="F367" s="12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</row>
    <row r="368" spans="1:18" x14ac:dyDescent="0.15">
      <c r="A368" s="13"/>
      <c r="B368" s="14"/>
      <c r="C368" s="14"/>
      <c r="D368" s="15"/>
      <c r="E368" s="14"/>
      <c r="F368" s="14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3" r:id="rId4" name="TextBox1">
          <controlPr defaultSize="0" autoLine="0" r:id="rId5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73" r:id="rId4" name="TextBox1"/>
      </mc:Fallback>
    </mc:AlternateContent>
    <mc:AlternateContent xmlns:mc="http://schemas.openxmlformats.org/markup-compatibility/2006">
      <mc:Choice Requires="x14">
        <control shapeId="2075" r:id="rId6" name="ListBox1">
          <controlPr defaultSize="0" autoLine="0" r:id="rId7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6</xdr:row>
                <xdr:rowOff>200025</xdr:rowOff>
              </to>
            </anchor>
          </controlPr>
        </control>
      </mc:Choice>
      <mc:Fallback>
        <control shapeId="2075" r:id="rId6" name="ListBox1"/>
      </mc:Fallback>
    </mc:AlternateContent>
    <mc:AlternateContent xmlns:mc="http://schemas.openxmlformats.org/markup-compatibility/2006">
      <mc:Choice Requires="x14">
        <control shapeId="2076" r:id="rId8" name="TextBox2">
          <controlPr defaultSize="0" autoLine="0" r:id="rId5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76" r:id="rId8" name="TextBox2"/>
      </mc:Fallback>
    </mc:AlternateContent>
    <mc:AlternateContent xmlns:mc="http://schemas.openxmlformats.org/markup-compatibility/2006">
      <mc:Choice Requires="x14">
        <control shapeId="2066" r:id="rId9" name="Button 18">
          <controlPr defaultSize="0" print="0" autoFill="0" autoPict="0" macro="[0]!ThisWorkbook.calutePos">
            <anchor moveWithCells="1" sizeWithCells="1">
              <from>
                <xdr:col>0</xdr:col>
                <xdr:colOff>28575</xdr:colOff>
                <xdr:row>0</xdr:row>
                <xdr:rowOff>47625</xdr:rowOff>
              </from>
              <to>
                <xdr:col>2</xdr:col>
                <xdr:colOff>228600</xdr:colOff>
                <xdr:row>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7" r:id="rId10" name="Button 29">
          <controlPr defaultSize="0" print="0" autoFill="0" autoPict="0" macro="[0]!micro所有药品目录表">
            <anchor moveWithCells="1" sizeWithCells="1">
              <from>
                <xdr:col>2</xdr:col>
                <xdr:colOff>266700</xdr:colOff>
                <xdr:row>0</xdr:row>
                <xdr:rowOff>38100</xdr:rowOff>
              </from>
              <to>
                <xdr:col>6</xdr:col>
                <xdr:colOff>600075</xdr:colOff>
                <xdr:row>0</xdr:row>
                <xdr:rowOff>438150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46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438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47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>
        <v>100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51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24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54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74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76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78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24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82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84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30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439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89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440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14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14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>
        <v>100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>
        <v>100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98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96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99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88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167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103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2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103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103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442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108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109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41</v>
      </c>
      <c r="O2" s="31"/>
      <c r="P2" s="31"/>
      <c r="Q2" s="31"/>
      <c r="R2" s="31"/>
      <c r="S2" s="32"/>
      <c r="T2" s="33" t="s">
        <v>35</v>
      </c>
      <c r="U2" s="37"/>
      <c r="V2" s="30" t="s">
        <v>110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112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>
        <v>10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114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>
        <v>1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443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116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444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445</v>
      </c>
      <c r="O2" s="31"/>
      <c r="P2" s="31"/>
      <c r="Q2" s="31"/>
      <c r="R2" s="31"/>
      <c r="S2" s="32"/>
      <c r="T2" s="33" t="s">
        <v>35</v>
      </c>
      <c r="U2" s="37"/>
      <c r="V2" s="30" t="s">
        <v>446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3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119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123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128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449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132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4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116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450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137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138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139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116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148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116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5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149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152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154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157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159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160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6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53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169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451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148</v>
      </c>
      <c r="O2" s="31"/>
      <c r="P2" s="31"/>
      <c r="Q2" s="31"/>
      <c r="R2" s="31"/>
      <c r="S2" s="32"/>
      <c r="T2" s="33" t="s">
        <v>35</v>
      </c>
      <c r="U2" s="37"/>
      <c r="V2" s="30" t="s">
        <v>175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177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7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179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123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86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47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 t="s">
        <v>53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185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53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189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190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8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196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185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123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199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175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9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123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208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53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209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129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0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213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214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172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49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112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116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219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167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53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220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221</v>
      </c>
      <c r="O2" s="31"/>
      <c r="P2" s="31"/>
      <c r="Q2" s="31"/>
      <c r="R2" s="31"/>
      <c r="S2" s="32"/>
      <c r="T2" s="33" t="s">
        <v>35</v>
      </c>
      <c r="U2" s="37"/>
      <c r="V2" s="30" t="s">
        <v>50</v>
      </c>
      <c r="W2" s="31"/>
      <c r="X2" s="31"/>
      <c r="Y2" s="31"/>
      <c r="Z2" s="32"/>
      <c r="AA2" s="33" t="s">
        <v>37</v>
      </c>
      <c r="AB2" s="34"/>
      <c r="AC2" s="38" t="s">
        <v>50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6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222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223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7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8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225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112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19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52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0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227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79</v>
      </c>
      <c r="O2" s="31"/>
      <c r="P2" s="31"/>
      <c r="Q2" s="31"/>
      <c r="R2" s="31"/>
      <c r="S2" s="32"/>
      <c r="T2" s="33" t="s">
        <v>35</v>
      </c>
      <c r="U2" s="37"/>
      <c r="V2" s="30" t="s">
        <v>42</v>
      </c>
      <c r="W2" s="31"/>
      <c r="X2" s="31"/>
      <c r="Y2" s="31"/>
      <c r="Z2" s="32"/>
      <c r="AA2" s="33" t="s">
        <v>37</v>
      </c>
      <c r="AB2" s="34"/>
      <c r="AC2" s="38" t="s">
        <v>42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1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228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229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448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2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454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95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3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456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145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4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458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459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62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yConsumeT125">
    <tabColor indexed="9"/>
  </sheetPr>
  <dimension ref="A1:AG16"/>
  <sheetViews>
    <sheetView zoomScaleNormal="100" workbookViewId="0">
      <selection sqref="A1:E1"/>
    </sheetView>
  </sheetViews>
  <sheetFormatPr defaultRowHeight="26.45" customHeight="1" x14ac:dyDescent="0.15"/>
  <cols>
    <col min="2" max="32" width="5.125" customWidth="1"/>
  </cols>
  <sheetData>
    <row r="1" spans="1:33" ht="26.45" customHeight="1" x14ac:dyDescent="0.15">
      <c r="A1" s="29" t="s">
        <v>34</v>
      </c>
      <c r="B1" s="29"/>
      <c r="C1" s="29"/>
      <c r="D1" s="29"/>
      <c r="E1" s="29"/>
      <c r="F1" s="26" t="s">
        <v>32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7"/>
      <c r="AD1" s="27"/>
      <c r="AE1" s="27"/>
      <c r="AF1" s="28"/>
    </row>
    <row r="2" spans="1:33" ht="26.45" customHeight="1" x14ac:dyDescent="0.15">
      <c r="A2" s="35" t="s">
        <v>31</v>
      </c>
      <c r="B2" s="36"/>
      <c r="C2" s="30" t="s">
        <v>461</v>
      </c>
      <c r="D2" s="31"/>
      <c r="E2" s="31"/>
      <c r="F2" s="31"/>
      <c r="G2" s="31"/>
      <c r="H2" s="31"/>
      <c r="I2" s="31"/>
      <c r="J2" s="31"/>
      <c r="K2" s="32"/>
      <c r="L2" s="33" t="s">
        <v>30</v>
      </c>
      <c r="M2" s="37"/>
      <c r="N2" s="30" t="s">
        <v>177</v>
      </c>
      <c r="O2" s="31"/>
      <c r="P2" s="31"/>
      <c r="Q2" s="31"/>
      <c r="R2" s="31"/>
      <c r="S2" s="32"/>
      <c r="T2" s="33" t="s">
        <v>35</v>
      </c>
      <c r="U2" s="37"/>
      <c r="V2" s="30" t="s">
        <v>53</v>
      </c>
      <c r="W2" s="31"/>
      <c r="X2" s="31"/>
      <c r="Y2" s="31"/>
      <c r="Z2" s="32"/>
      <c r="AA2" s="33" t="s">
        <v>37</v>
      </c>
      <c r="AB2" s="34"/>
      <c r="AC2" s="38" t="s">
        <v>57</v>
      </c>
      <c r="AD2" s="38"/>
      <c r="AE2" s="38"/>
      <c r="AF2" s="38"/>
    </row>
    <row r="3" spans="1:33" ht="26.45" customHeight="1" x14ac:dyDescent="0.15">
      <c r="A3" s="3" t="s">
        <v>29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16">
        <v>28</v>
      </c>
      <c r="AD3" s="16">
        <v>29</v>
      </c>
      <c r="AE3" s="16">
        <v>30</v>
      </c>
      <c r="AF3" s="16">
        <v>31</v>
      </c>
      <c r="AG3" s="3" t="s">
        <v>33</v>
      </c>
    </row>
    <row r="4" spans="1:33" ht="26.45" customHeight="1" x14ac:dyDescent="0.15">
      <c r="A4" s="3" t="s">
        <v>28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2">
        <f t="shared" ref="AG4:AG15" si="0">SUM(B4:AF4)</f>
        <v>0</v>
      </c>
    </row>
    <row r="5" spans="1:33" ht="26.45" customHeight="1" x14ac:dyDescent="0.15">
      <c r="A5" s="3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2">
        <f t="shared" si="0"/>
        <v>0</v>
      </c>
    </row>
    <row r="6" spans="1:33" ht="26.45" customHeight="1" x14ac:dyDescent="0.15">
      <c r="A6" s="3" t="s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2">
        <f t="shared" si="0"/>
        <v>0</v>
      </c>
    </row>
    <row r="7" spans="1:33" ht="26.45" customHeight="1" x14ac:dyDescent="0.15">
      <c r="A7" s="3" t="s">
        <v>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2">
        <f t="shared" si="0"/>
        <v>0</v>
      </c>
    </row>
    <row r="8" spans="1:33" ht="26.45" customHeight="1" x14ac:dyDescent="0.15">
      <c r="A8" s="3" t="s">
        <v>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2">
        <f t="shared" si="0"/>
        <v>0</v>
      </c>
    </row>
    <row r="9" spans="1:33" ht="26.45" customHeight="1" x14ac:dyDescent="0.15">
      <c r="A9" s="3" t="s">
        <v>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2">
        <f t="shared" si="0"/>
        <v>0</v>
      </c>
    </row>
    <row r="10" spans="1:33" ht="26.45" customHeight="1" x14ac:dyDescent="0.15">
      <c r="A10" s="3" t="s">
        <v>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2">
        <f t="shared" si="0"/>
        <v>0</v>
      </c>
    </row>
    <row r="11" spans="1:33" ht="26.45" customHeight="1" x14ac:dyDescent="0.15">
      <c r="A11" s="3" t="s">
        <v>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2">
        <f t="shared" si="0"/>
        <v>0</v>
      </c>
    </row>
    <row r="12" spans="1:33" ht="26.45" customHeight="1" x14ac:dyDescent="0.15">
      <c r="A12" s="3" t="s">
        <v>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2">
        <f t="shared" si="0"/>
        <v>0</v>
      </c>
    </row>
    <row r="13" spans="1:33" ht="26.45" customHeight="1" x14ac:dyDescent="0.15">
      <c r="A13" s="3" t="s">
        <v>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2">
        <f t="shared" si="0"/>
        <v>0</v>
      </c>
    </row>
    <row r="14" spans="1:33" ht="26.45" customHeight="1" x14ac:dyDescent="0.15">
      <c r="A14" s="3" t="s">
        <v>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2">
        <f t="shared" si="0"/>
        <v>0</v>
      </c>
    </row>
    <row r="15" spans="1:33" ht="26.45" customHeight="1" x14ac:dyDescent="0.15">
      <c r="A15" s="3" t="s">
        <v>10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">
        <f t="shared" si="0"/>
        <v>0</v>
      </c>
    </row>
    <row r="16" spans="1:33" ht="26.45" customHeight="1" x14ac:dyDescent="0.15">
      <c r="AF16" s="6" t="s">
        <v>36</v>
      </c>
      <c r="AG16" s="7">
        <f>SUM(AG4:AG15)</f>
        <v>0</v>
      </c>
    </row>
  </sheetData>
  <mergeCells count="10">
    <mergeCell ref="A1:E1"/>
    <mergeCell ref="F1:AF1"/>
    <mergeCell ref="A2:B2"/>
    <mergeCell ref="C2:K2"/>
    <mergeCell ref="L2:M2"/>
    <mergeCell ref="N2:S2"/>
    <mergeCell ref="T2:U2"/>
    <mergeCell ref="V2:Z2"/>
    <mergeCell ref="AA2:AB2"/>
    <mergeCell ref="AC2:AF2"/>
  </mergeCells>
  <phoneticPr fontId="1" type="noConversion"/>
  <hyperlinks>
    <hyperlink ref="A1" location="目录!A1" display="返回"/>
    <hyperlink ref="A1:E1" location="所有药品目录表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127</vt:i4>
      </vt:variant>
    </vt:vector>
  </HeadingPairs>
  <TitlesOfParts>
    <vt:vector size="127" baseType="lpstr">
      <vt:lpstr>药品逐日消耗模板表</vt:lpstr>
      <vt:lpstr>所有药品目录表</vt:lpstr>
      <vt:lpstr>就诊伤病员处置登记表</vt:lpstr>
      <vt:lpstr>冰硼散</vt:lpstr>
      <vt:lpstr>红霉素软膏</vt:lpstr>
      <vt:lpstr>红霉素眼膏</vt:lpstr>
      <vt:lpstr>双氯芬酸二乙胺乳胶剂（扶他林）</vt:lpstr>
      <vt:lpstr>复方黄连素</vt:lpstr>
      <vt:lpstr>连花清瘟胶囊</vt:lpstr>
      <vt:lpstr>马应龙麝香痔疮膏</vt:lpstr>
      <vt:lpstr>麝香痔疮栓</vt:lpstr>
      <vt:lpstr>连花清瘟颗粒</vt:lpstr>
      <vt:lpstr>呋麻滴鼻液</vt:lpstr>
      <vt:lpstr>999胃泰胶囊</vt:lpstr>
      <vt:lpstr>依巴斯汀片</vt:lpstr>
      <vt:lpstr>多潘立酮片</vt:lpstr>
      <vt:lpstr>蒙脱石散</vt:lpstr>
      <vt:lpstr>阿莫西林克拉维酸钾片</vt:lpstr>
      <vt:lpstr>左氧氟沙星片</vt:lpstr>
      <vt:lpstr>布洛芬缓释胶囊</vt:lpstr>
      <vt:lpstr>罗红霉素胶囊</vt:lpstr>
      <vt:lpstr>咳特灵片</vt:lpstr>
      <vt:lpstr>甲硝唑芬布芬胶囊</vt:lpstr>
      <vt:lpstr>双氯芬酸钠缓释片</vt:lpstr>
      <vt:lpstr>鼻炎康片</vt:lpstr>
      <vt:lpstr>阿昔洛韦乳膏</vt:lpstr>
      <vt:lpstr>氯雷他定片</vt:lpstr>
      <vt:lpstr>利巴韦林滴眼液</vt:lpstr>
      <vt:lpstr>复方酮康唑乳膏</vt:lpstr>
      <vt:lpstr>复方醋酸地塞米松乳膏</vt:lpstr>
      <vt:lpstr>复方倍氯米松樟脑乳膏</vt:lpstr>
      <vt:lpstr>醋酸曲安奈德益康唑乳膏</vt:lpstr>
      <vt:lpstr>丁酸氢化可的松乳膏（醋酸）</vt:lpstr>
      <vt:lpstr> 红花油</vt:lpstr>
      <vt:lpstr>清凉油</vt:lpstr>
      <vt:lpstr>高山红景天口服液</vt:lpstr>
      <vt:lpstr>风油精</vt:lpstr>
      <vt:lpstr>肠炎宁颗粒</vt:lpstr>
      <vt:lpstr>注射用奥美拉唑纳</vt:lpstr>
      <vt:lpstr>关节止痛膏</vt:lpstr>
      <vt:lpstr>季德胜蛇药片</vt:lpstr>
      <vt:lpstr>金嗓子喉片</vt:lpstr>
      <vt:lpstr>炉甘石洗剂</vt:lpstr>
      <vt:lpstr>安神补脑液</vt:lpstr>
      <vt:lpstr>创口贴</vt:lpstr>
      <vt:lpstr>藿香正气口服液</vt:lpstr>
      <vt:lpstr>健胃消食片</vt:lpstr>
      <vt:lpstr>牛黄解毒片</vt:lpstr>
      <vt:lpstr>奥美拉唑肠溶胶囊</vt:lpstr>
      <vt:lpstr>盐酸小檗碱</vt:lpstr>
      <vt:lpstr>风热感冒颗粒</vt:lpstr>
      <vt:lpstr>复方感冒灵颗粒</vt:lpstr>
      <vt:lpstr>云南白药气雾剂</vt:lpstr>
      <vt:lpstr>急支糖浆</vt:lpstr>
      <vt:lpstr>麝香壮骨膏</vt:lpstr>
      <vt:lpstr>维生素C片</vt:lpstr>
      <vt:lpstr>醋酸地塞米松片</vt:lpstr>
      <vt:lpstr>马来酸氯苯那敏</vt:lpstr>
      <vt:lpstr>磷酸奥司他韦颗粒</vt:lpstr>
      <vt:lpstr>夏桑菊颗粒</vt:lpstr>
      <vt:lpstr>云南白药膏</vt:lpstr>
      <vt:lpstr>伤湿止痛膏</vt:lpstr>
      <vt:lpstr>复方酮康唑发用洗剂</vt:lpstr>
      <vt:lpstr>湿润烧伤膏</vt:lpstr>
      <vt:lpstr>复方甘草片</vt:lpstr>
      <vt:lpstr>颠茄片</vt:lpstr>
      <vt:lpstr>罗通定片</vt:lpstr>
      <vt:lpstr>兰索拉唑肠溶胶囊</vt:lpstr>
      <vt:lpstr>头孢呋辛酯片</vt:lpstr>
      <vt:lpstr>麻仁润肠丸</vt:lpstr>
      <vt:lpstr>头孢克圬分散片</vt:lpstr>
      <vt:lpstr>阿昔洛韦滴眼液</vt:lpstr>
      <vt:lpstr>苯溴马隆片</vt:lpstr>
      <vt:lpstr>碳酸氢钠片</vt:lpstr>
      <vt:lpstr>口服补液盐散</vt:lpstr>
      <vt:lpstr>妥布霉素地塞米松滴眼液</vt:lpstr>
      <vt:lpstr>塞来昔布胶囊</vt:lpstr>
      <vt:lpstr>复方板蓝根颗粒</vt:lpstr>
      <vt:lpstr>维C银翘片</vt:lpstr>
      <vt:lpstr>诺氟沙星胶囊</vt:lpstr>
      <vt:lpstr>强力枇杷露</vt:lpstr>
      <vt:lpstr>通宣理肺颗粒</vt:lpstr>
      <vt:lpstr>人工牛黄甲硝唑胶囊</vt:lpstr>
      <vt:lpstr>咽炎含片</vt:lpstr>
      <vt:lpstr>硝酸咪康唑乳膏</vt:lpstr>
      <vt:lpstr>黄连上清片</vt:lpstr>
      <vt:lpstr>维U颠茄铝镁片</vt:lpstr>
      <vt:lpstr>铝碳酸镁咀嚼片</vt:lpstr>
      <vt:lpstr>止咳祛痰颗粒</vt:lpstr>
      <vt:lpstr>秋水仙碱片</vt:lpstr>
      <vt:lpstr>阿奇霉素胶囊</vt:lpstr>
      <vt:lpstr>双氯芬酸钠胶囊</vt:lpstr>
      <vt:lpstr>三七伤药片</vt:lpstr>
      <vt:lpstr>川百止痒洗剂</vt:lpstr>
      <vt:lpstr>川贝枇杷糖浆</vt:lpstr>
      <vt:lpstr>蒲地蓝消炎片</vt:lpstr>
      <vt:lpstr>盐酸氨溴索口服液</vt:lpstr>
      <vt:lpstr>999胃泰颗粒</vt:lpstr>
      <vt:lpstr>色甘酸钠滴眼液</vt:lpstr>
      <vt:lpstr>冰硼含片</vt:lpstr>
      <vt:lpstr>孟鲁司特咀嚼片</vt:lpstr>
      <vt:lpstr>玻璃酸钠滴眼液</vt:lpstr>
      <vt:lpstr>复方感冒灵片</vt:lpstr>
      <vt:lpstr>金银花口服液</vt:lpstr>
      <vt:lpstr>聚维酮碘溶液</vt:lpstr>
      <vt:lpstr>布洛芬缓释混悬液</vt:lpstr>
      <vt:lpstr>维生素B12片</vt:lpstr>
      <vt:lpstr>维生素E软胶囊</vt:lpstr>
      <vt:lpstr>复合维生素B片</vt:lpstr>
      <vt:lpstr>碳酸钙D3咀嚼片</vt:lpstr>
      <vt:lpstr>外用溃疡散</vt:lpstr>
      <vt:lpstr>盐酸左氧氟沙星滴耳液</vt:lpstr>
      <vt:lpstr>多维元素片</vt:lpstr>
      <vt:lpstr>复方甘草口服液</vt:lpstr>
      <vt:lpstr>氨酚伪麻那敏片</vt:lpstr>
      <vt:lpstr>珍珠明目滴眼液</vt:lpstr>
      <vt:lpstr>复方氯已定含漱液</vt:lpstr>
      <vt:lpstr>对乙酰氨基酚缓释片</vt:lpstr>
      <vt:lpstr>氢溴酸右美沙芬片</vt:lpstr>
      <vt:lpstr>双黄连口服液</vt:lpstr>
      <vt:lpstr>复方氨酚烷胺片</vt:lpstr>
      <vt:lpstr>醋酸曲安奈德尿素软膏</vt:lpstr>
      <vt:lpstr>鼻炎灵颗粒</vt:lpstr>
      <vt:lpstr>磷酸奥司他韦胶囊</vt:lpstr>
      <vt:lpstr>地奥司明片</vt:lpstr>
      <vt:lpstr>西地碘含片</vt:lpstr>
      <vt:lpstr>盐酸氨基酸葡萄糖胶囊</vt:lpstr>
    </vt:vector>
  </TitlesOfParts>
  <Company>SMC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ml</cp:lastModifiedBy>
  <dcterms:created xsi:type="dcterms:W3CDTF">2022-11-01T04:07:59Z</dcterms:created>
  <dcterms:modified xsi:type="dcterms:W3CDTF">2022-11-07T16:01:47Z</dcterms:modified>
</cp:coreProperties>
</file>